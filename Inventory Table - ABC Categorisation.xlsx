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\Desktop\Study\Projects\Inventory Optimisation Project\"/>
    </mc:Choice>
  </mc:AlternateContent>
  <xr:revisionPtr revIDLastSave="0" documentId="13_ncr:1_{D091F708-D6AD-4318-9B7C-B3A58F567EDA}" xr6:coauthVersionLast="47" xr6:coauthVersionMax="47" xr10:uidLastSave="{00000000-0000-0000-0000-000000000000}"/>
  <bookViews>
    <workbookView xWindow="-108" yWindow="-108" windowWidth="23256" windowHeight="12456" xr2:uid="{683C3294-AA01-4C2A-909F-A5C61B6618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L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X59" i="1"/>
  <c r="X108" i="1"/>
  <c r="X10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  <c r="X342" i="1"/>
  <c r="X344" i="1"/>
  <c r="X414" i="1"/>
  <c r="X461" i="1"/>
  <c r="V363" i="1"/>
  <c r="V365" i="1"/>
  <c r="U159" i="1"/>
  <c r="U161" i="1"/>
  <c r="U188" i="1"/>
  <c r="U275" i="1"/>
  <c r="U294" i="1"/>
  <c r="U341" i="1"/>
  <c r="T22" i="1"/>
  <c r="T30" i="1"/>
  <c r="T40" i="1"/>
  <c r="T43" i="1"/>
  <c r="T46" i="1"/>
  <c r="V46" i="1" s="1"/>
  <c r="T47" i="1"/>
  <c r="V47" i="1" s="1"/>
  <c r="T82" i="1"/>
  <c r="T83" i="1"/>
  <c r="T88" i="1"/>
  <c r="T113" i="1"/>
  <c r="T114" i="1"/>
  <c r="T116" i="1"/>
  <c r="T149" i="1"/>
  <c r="T150" i="1"/>
  <c r="T173" i="1"/>
  <c r="V173" i="1" s="1"/>
  <c r="T196" i="1"/>
  <c r="T221" i="1"/>
  <c r="T222" i="1"/>
  <c r="T232" i="1"/>
  <c r="T235" i="1"/>
  <c r="T236" i="1"/>
  <c r="T237" i="1"/>
  <c r="T238" i="1"/>
  <c r="T273" i="1"/>
  <c r="V273" i="1" s="1"/>
  <c r="T292" i="1"/>
  <c r="T293" i="1"/>
  <c r="T294" i="1"/>
  <c r="T318" i="1"/>
  <c r="T319" i="1"/>
  <c r="T320" i="1"/>
  <c r="T321" i="1"/>
  <c r="V321" i="1" s="1"/>
  <c r="T322" i="1"/>
  <c r="V322" i="1" s="1"/>
  <c r="T323" i="1"/>
  <c r="T358" i="1"/>
  <c r="T364" i="1"/>
  <c r="T365" i="1"/>
  <c r="T376" i="1"/>
  <c r="T382" i="1"/>
  <c r="V382" i="1" s="1"/>
  <c r="T388" i="1"/>
  <c r="T417" i="1"/>
  <c r="T418" i="1"/>
  <c r="T427" i="1"/>
  <c r="T437" i="1"/>
  <c r="T448" i="1"/>
  <c r="T485" i="1"/>
  <c r="T486" i="1"/>
  <c r="S46" i="1"/>
  <c r="S159" i="1"/>
  <c r="S219" i="1"/>
  <c r="S273" i="1"/>
  <c r="S274" i="1"/>
  <c r="S275" i="1"/>
  <c r="S283" i="1"/>
  <c r="S322" i="1"/>
  <c r="S437" i="1"/>
  <c r="S438" i="1"/>
  <c r="S463" i="1"/>
  <c r="R5" i="1"/>
  <c r="R22" i="1"/>
  <c r="R40" i="1"/>
  <c r="R51" i="1"/>
  <c r="U51" i="1" s="1"/>
  <c r="V51" i="1" s="1"/>
  <c r="R52" i="1"/>
  <c r="R53" i="1"/>
  <c r="R54" i="1"/>
  <c r="R55" i="1"/>
  <c r="R56" i="1"/>
  <c r="R77" i="1"/>
  <c r="U77" i="1" s="1"/>
  <c r="R82" i="1"/>
  <c r="R83" i="1"/>
  <c r="R123" i="1"/>
  <c r="R124" i="1"/>
  <c r="R125" i="1"/>
  <c r="R127" i="1"/>
  <c r="R135" i="1"/>
  <c r="R136" i="1"/>
  <c r="R142" i="1"/>
  <c r="R159" i="1"/>
  <c r="R161" i="1"/>
  <c r="S161" i="1" s="1"/>
  <c r="R162" i="1"/>
  <c r="R163" i="1"/>
  <c r="R166" i="1"/>
  <c r="R171" i="1"/>
  <c r="U171" i="1" s="1"/>
  <c r="V171" i="1" s="1"/>
  <c r="R196" i="1"/>
  <c r="U196" i="1" s="1"/>
  <c r="V196" i="1" s="1"/>
  <c r="R197" i="1"/>
  <c r="R198" i="1"/>
  <c r="R219" i="1"/>
  <c r="U219" i="1" s="1"/>
  <c r="R226" i="1"/>
  <c r="R242" i="1"/>
  <c r="R248" i="1"/>
  <c r="R249" i="1"/>
  <c r="R255" i="1"/>
  <c r="R256" i="1"/>
  <c r="R282" i="1"/>
  <c r="R291" i="1"/>
  <c r="R292" i="1"/>
  <c r="R293" i="1"/>
  <c r="R294" i="1"/>
  <c r="S294" i="1" s="1"/>
  <c r="R319" i="1"/>
  <c r="R320" i="1"/>
  <c r="R321" i="1"/>
  <c r="U321" i="1" s="1"/>
  <c r="R326" i="1"/>
  <c r="R327" i="1"/>
  <c r="R328" i="1"/>
  <c r="R347" i="1"/>
  <c r="R352" i="1"/>
  <c r="U352" i="1" s="1"/>
  <c r="R353" i="1"/>
  <c r="U353" i="1" s="1"/>
  <c r="V353" i="1" s="1"/>
  <c r="R354" i="1"/>
  <c r="S354" i="1" s="1"/>
  <c r="R363" i="1"/>
  <c r="U363" i="1" s="1"/>
  <c r="R364" i="1"/>
  <c r="U364" i="1" s="1"/>
  <c r="R365" i="1"/>
  <c r="U365" i="1" s="1"/>
  <c r="R366" i="1"/>
  <c r="R370" i="1"/>
  <c r="U370" i="1" s="1"/>
  <c r="R377" i="1"/>
  <c r="U377" i="1" s="1"/>
  <c r="R378" i="1"/>
  <c r="U378" i="1" s="1"/>
  <c r="V378" i="1" s="1"/>
  <c r="R382" i="1"/>
  <c r="U382" i="1" s="1"/>
  <c r="R383" i="1"/>
  <c r="S383" i="1" s="1"/>
  <c r="R402" i="1"/>
  <c r="R403" i="1"/>
  <c r="R404" i="1"/>
  <c r="R415" i="1"/>
  <c r="R416" i="1"/>
  <c r="R417" i="1"/>
  <c r="R419" i="1"/>
  <c r="U419" i="1" s="1"/>
  <c r="R442" i="1"/>
  <c r="R443" i="1"/>
  <c r="R447" i="1"/>
  <c r="S447" i="1" s="1"/>
  <c r="R448" i="1"/>
  <c r="S448" i="1" s="1"/>
  <c r="R449" i="1"/>
  <c r="U449" i="1" s="1"/>
  <c r="R459" i="1"/>
  <c r="R460" i="1"/>
  <c r="R474" i="1"/>
  <c r="R475" i="1"/>
  <c r="R481" i="1"/>
  <c r="R483" i="1"/>
  <c r="U483" i="1" s="1"/>
  <c r="R485" i="1"/>
  <c r="S485" i="1" s="1"/>
  <c r="P10" i="1"/>
  <c r="P11" i="1"/>
  <c r="P12" i="1"/>
  <c r="P14" i="1"/>
  <c r="X14" i="1" s="1"/>
  <c r="P15" i="1"/>
  <c r="X15" i="1" s="1"/>
  <c r="P21" i="1"/>
  <c r="P22" i="1"/>
  <c r="P36" i="1"/>
  <c r="P37" i="1"/>
  <c r="P39" i="1"/>
  <c r="X39" i="1" s="1"/>
  <c r="P46" i="1"/>
  <c r="P47" i="1"/>
  <c r="P48" i="1"/>
  <c r="P53" i="1"/>
  <c r="X53" i="1" s="1"/>
  <c r="P54" i="1"/>
  <c r="X54" i="1" s="1"/>
  <c r="P59" i="1"/>
  <c r="P60" i="1"/>
  <c r="P61" i="1"/>
  <c r="P70" i="1"/>
  <c r="P71" i="1"/>
  <c r="P72" i="1"/>
  <c r="P89" i="1"/>
  <c r="X89" i="1" s="1"/>
  <c r="P94" i="1"/>
  <c r="P105" i="1"/>
  <c r="P106" i="1"/>
  <c r="P107" i="1"/>
  <c r="P118" i="1"/>
  <c r="P119" i="1"/>
  <c r="P125" i="1"/>
  <c r="X125" i="1" s="1"/>
  <c r="P126" i="1"/>
  <c r="X126" i="1" s="1"/>
  <c r="P131" i="1"/>
  <c r="P132" i="1"/>
  <c r="P142" i="1"/>
  <c r="P143" i="1"/>
  <c r="P144" i="1"/>
  <c r="P145" i="1"/>
  <c r="P158" i="1"/>
  <c r="X158" i="1" s="1"/>
  <c r="P159" i="1"/>
  <c r="X159" i="1" s="1"/>
  <c r="P166" i="1"/>
  <c r="P167" i="1"/>
  <c r="P168" i="1"/>
  <c r="P169" i="1"/>
  <c r="P178" i="1"/>
  <c r="P189" i="1"/>
  <c r="P190" i="1"/>
  <c r="P191" i="1"/>
  <c r="P192" i="1"/>
  <c r="P193" i="1"/>
  <c r="P194" i="1"/>
  <c r="X194" i="1" s="1"/>
  <c r="P195" i="1"/>
  <c r="X195" i="1" s="1"/>
  <c r="P215" i="1"/>
  <c r="P216" i="1"/>
  <c r="P217" i="1"/>
  <c r="P218" i="1"/>
  <c r="X218" i="1" s="1"/>
  <c r="P219" i="1"/>
  <c r="X219" i="1" s="1"/>
  <c r="P225" i="1"/>
  <c r="P238" i="1"/>
  <c r="P239" i="1"/>
  <c r="P240" i="1"/>
  <c r="P241" i="1"/>
  <c r="P250" i="1"/>
  <c r="P252" i="1"/>
  <c r="P263" i="1"/>
  <c r="X263" i="1" s="1"/>
  <c r="P264" i="1"/>
  <c r="P265" i="1"/>
  <c r="P274" i="1"/>
  <c r="P275" i="1"/>
  <c r="P289" i="1"/>
  <c r="P290" i="1"/>
  <c r="X290" i="1" s="1"/>
  <c r="P291" i="1"/>
  <c r="X291" i="1" s="1"/>
  <c r="P292" i="1"/>
  <c r="X292" i="1" s="1"/>
  <c r="P298" i="1"/>
  <c r="P299" i="1"/>
  <c r="P300" i="1"/>
  <c r="P311" i="1"/>
  <c r="X311" i="1" s="1"/>
  <c r="P323" i="1"/>
  <c r="P324" i="1"/>
  <c r="P325" i="1"/>
  <c r="P326" i="1"/>
  <c r="X326" i="1" s="1"/>
  <c r="P336" i="1"/>
  <c r="P337" i="1"/>
  <c r="P339" i="1"/>
  <c r="X339" i="1" s="1"/>
  <c r="P340" i="1"/>
  <c r="X340" i="1" s="1"/>
  <c r="P346" i="1"/>
  <c r="P347" i="1"/>
  <c r="P369" i="1"/>
  <c r="X369" i="1" s="1"/>
  <c r="P370" i="1"/>
  <c r="X370" i="1" s="1"/>
  <c r="P371" i="1"/>
  <c r="P372" i="1"/>
  <c r="P373" i="1"/>
  <c r="P385" i="1"/>
  <c r="P394" i="1"/>
  <c r="P395" i="1"/>
  <c r="P396" i="1"/>
  <c r="P418" i="1"/>
  <c r="P419" i="1"/>
  <c r="P420" i="1"/>
  <c r="P421" i="1"/>
  <c r="P436" i="1"/>
  <c r="X436" i="1" s="1"/>
  <c r="P442" i="1"/>
  <c r="P467" i="1"/>
  <c r="P468" i="1"/>
  <c r="P469" i="1"/>
  <c r="P470" i="1"/>
  <c r="X470" i="1" s="1"/>
  <c r="P471" i="1"/>
  <c r="X471" i="1" s="1"/>
  <c r="P472" i="1"/>
  <c r="X472" i="1" s="1"/>
  <c r="P477" i="1"/>
  <c r="P491" i="1"/>
  <c r="P492" i="1"/>
  <c r="P493" i="1"/>
  <c r="O3" i="1"/>
  <c r="P3" i="1" s="1"/>
  <c r="X3" i="1" s="1"/>
  <c r="O4" i="1"/>
  <c r="P4" i="1" s="1"/>
  <c r="O5" i="1"/>
  <c r="P5" i="1" s="1"/>
  <c r="X5" i="1" s="1"/>
  <c r="O6" i="1"/>
  <c r="P6" i="1" s="1"/>
  <c r="X6" i="1" s="1"/>
  <c r="O7" i="1"/>
  <c r="P7" i="1" s="1"/>
  <c r="O8" i="1"/>
  <c r="P8" i="1" s="1"/>
  <c r="O9" i="1"/>
  <c r="P9" i="1" s="1"/>
  <c r="O10" i="1"/>
  <c r="O11" i="1"/>
  <c r="O12" i="1"/>
  <c r="O13" i="1"/>
  <c r="P13" i="1" s="1"/>
  <c r="O14" i="1"/>
  <c r="O15" i="1"/>
  <c r="O16" i="1"/>
  <c r="P16" i="1" s="1"/>
  <c r="O17" i="1"/>
  <c r="P17" i="1" s="1"/>
  <c r="X17" i="1" s="1"/>
  <c r="O18" i="1"/>
  <c r="P18" i="1" s="1"/>
  <c r="X18" i="1" s="1"/>
  <c r="O19" i="1"/>
  <c r="P19" i="1" s="1"/>
  <c r="O20" i="1"/>
  <c r="P20" i="1" s="1"/>
  <c r="O21" i="1"/>
  <c r="O22" i="1"/>
  <c r="O23" i="1"/>
  <c r="P23" i="1" s="1"/>
  <c r="O24" i="1"/>
  <c r="P24" i="1" s="1"/>
  <c r="O25" i="1"/>
  <c r="P25" i="1" s="1"/>
  <c r="O26" i="1"/>
  <c r="P26" i="1" s="1"/>
  <c r="X26" i="1" s="1"/>
  <c r="O27" i="1"/>
  <c r="P27" i="1" s="1"/>
  <c r="X27" i="1" s="1"/>
  <c r="O28" i="1"/>
  <c r="P28" i="1" s="1"/>
  <c r="O29" i="1"/>
  <c r="P29" i="1" s="1"/>
  <c r="X29" i="1" s="1"/>
  <c r="O30" i="1"/>
  <c r="P30" i="1" s="1"/>
  <c r="X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O37" i="1"/>
  <c r="O38" i="1"/>
  <c r="P38" i="1" s="1"/>
  <c r="X38" i="1" s="1"/>
  <c r="O39" i="1"/>
  <c r="O40" i="1"/>
  <c r="P40" i="1" s="1"/>
  <c r="O41" i="1"/>
  <c r="P41" i="1" s="1"/>
  <c r="X41" i="1" s="1"/>
  <c r="O42" i="1"/>
  <c r="P42" i="1" s="1"/>
  <c r="X42" i="1" s="1"/>
  <c r="O43" i="1"/>
  <c r="P43" i="1" s="1"/>
  <c r="O44" i="1"/>
  <c r="P44" i="1" s="1"/>
  <c r="O45" i="1"/>
  <c r="P45" i="1" s="1"/>
  <c r="O46" i="1"/>
  <c r="O47" i="1"/>
  <c r="O48" i="1"/>
  <c r="O49" i="1"/>
  <c r="P49" i="1" s="1"/>
  <c r="O50" i="1"/>
  <c r="P50" i="1" s="1"/>
  <c r="X50" i="1" s="1"/>
  <c r="O51" i="1"/>
  <c r="P51" i="1" s="1"/>
  <c r="X51" i="1" s="1"/>
  <c r="O52" i="1"/>
  <c r="P52" i="1" s="1"/>
  <c r="O53" i="1"/>
  <c r="O54" i="1"/>
  <c r="O55" i="1"/>
  <c r="P55" i="1" s="1"/>
  <c r="O56" i="1"/>
  <c r="P56" i="1" s="1"/>
  <c r="O57" i="1"/>
  <c r="P57" i="1" s="1"/>
  <c r="O58" i="1"/>
  <c r="P58" i="1" s="1"/>
  <c r="O59" i="1"/>
  <c r="O60" i="1"/>
  <c r="O61" i="1"/>
  <c r="O62" i="1"/>
  <c r="P62" i="1" s="1"/>
  <c r="X62" i="1" s="1"/>
  <c r="O63" i="1"/>
  <c r="P63" i="1" s="1"/>
  <c r="X63" i="1" s="1"/>
  <c r="O64" i="1"/>
  <c r="P64" i="1" s="1"/>
  <c r="O65" i="1"/>
  <c r="P65" i="1" s="1"/>
  <c r="X65" i="1" s="1"/>
  <c r="O66" i="1"/>
  <c r="P66" i="1" s="1"/>
  <c r="X66" i="1" s="1"/>
  <c r="O67" i="1"/>
  <c r="P67" i="1" s="1"/>
  <c r="O68" i="1"/>
  <c r="P68" i="1" s="1"/>
  <c r="O69" i="1"/>
  <c r="P69" i="1" s="1"/>
  <c r="O70" i="1"/>
  <c r="O71" i="1"/>
  <c r="O72" i="1"/>
  <c r="O73" i="1"/>
  <c r="P73" i="1" s="1"/>
  <c r="O74" i="1"/>
  <c r="P74" i="1" s="1"/>
  <c r="X74" i="1" s="1"/>
  <c r="O75" i="1"/>
  <c r="P75" i="1" s="1"/>
  <c r="X75" i="1" s="1"/>
  <c r="O76" i="1"/>
  <c r="P76" i="1" s="1"/>
  <c r="O77" i="1"/>
  <c r="P77" i="1" s="1"/>
  <c r="X77" i="1" s="1"/>
  <c r="O78" i="1"/>
  <c r="P78" i="1" s="1"/>
  <c r="X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X86" i="1" s="1"/>
  <c r="O87" i="1"/>
  <c r="P87" i="1" s="1"/>
  <c r="X87" i="1" s="1"/>
  <c r="O88" i="1"/>
  <c r="P88" i="1" s="1"/>
  <c r="O89" i="1"/>
  <c r="O90" i="1"/>
  <c r="P90" i="1" s="1"/>
  <c r="X90" i="1" s="1"/>
  <c r="O91" i="1"/>
  <c r="P91" i="1" s="1"/>
  <c r="O92" i="1"/>
  <c r="P92" i="1" s="1"/>
  <c r="O93" i="1"/>
  <c r="P93" i="1" s="1"/>
  <c r="O94" i="1"/>
  <c r="O95" i="1"/>
  <c r="P95" i="1" s="1"/>
  <c r="O96" i="1"/>
  <c r="P96" i="1" s="1"/>
  <c r="O97" i="1"/>
  <c r="P97" i="1" s="1"/>
  <c r="O98" i="1"/>
  <c r="P98" i="1" s="1"/>
  <c r="X98" i="1" s="1"/>
  <c r="O99" i="1"/>
  <c r="P99" i="1" s="1"/>
  <c r="X99" i="1" s="1"/>
  <c r="O100" i="1"/>
  <c r="P100" i="1" s="1"/>
  <c r="O101" i="1"/>
  <c r="P101" i="1" s="1"/>
  <c r="X101" i="1" s="1"/>
  <c r="O102" i="1"/>
  <c r="P102" i="1" s="1"/>
  <c r="X102" i="1" s="1"/>
  <c r="O103" i="1"/>
  <c r="P103" i="1" s="1"/>
  <c r="O104" i="1"/>
  <c r="P104" i="1" s="1"/>
  <c r="O105" i="1"/>
  <c r="O106" i="1"/>
  <c r="O107" i="1"/>
  <c r="O108" i="1"/>
  <c r="P108" i="1" s="1"/>
  <c r="O109" i="1"/>
  <c r="P109" i="1" s="1"/>
  <c r="O110" i="1"/>
  <c r="P110" i="1" s="1"/>
  <c r="X110" i="1" s="1"/>
  <c r="O111" i="1"/>
  <c r="P111" i="1" s="1"/>
  <c r="X111" i="1" s="1"/>
  <c r="O112" i="1"/>
  <c r="P112" i="1" s="1"/>
  <c r="O113" i="1"/>
  <c r="P113" i="1" s="1"/>
  <c r="X113" i="1" s="1"/>
  <c r="O114" i="1"/>
  <c r="P114" i="1" s="1"/>
  <c r="X114" i="1" s="1"/>
  <c r="O115" i="1"/>
  <c r="P115" i="1" s="1"/>
  <c r="O116" i="1"/>
  <c r="P116" i="1" s="1"/>
  <c r="O117" i="1"/>
  <c r="P117" i="1" s="1"/>
  <c r="O118" i="1"/>
  <c r="O119" i="1"/>
  <c r="O120" i="1"/>
  <c r="P120" i="1" s="1"/>
  <c r="O121" i="1"/>
  <c r="P121" i="1" s="1"/>
  <c r="O122" i="1"/>
  <c r="P122" i="1" s="1"/>
  <c r="X122" i="1" s="1"/>
  <c r="O123" i="1"/>
  <c r="P123" i="1" s="1"/>
  <c r="X123" i="1" s="1"/>
  <c r="O124" i="1"/>
  <c r="P124" i="1" s="1"/>
  <c r="O125" i="1"/>
  <c r="O126" i="1"/>
  <c r="O127" i="1"/>
  <c r="P127" i="1" s="1"/>
  <c r="O128" i="1"/>
  <c r="P128" i="1" s="1"/>
  <c r="O129" i="1"/>
  <c r="P129" i="1" s="1"/>
  <c r="O130" i="1"/>
  <c r="P130" i="1" s="1"/>
  <c r="O131" i="1"/>
  <c r="O132" i="1"/>
  <c r="O133" i="1"/>
  <c r="P133" i="1" s="1"/>
  <c r="O134" i="1"/>
  <c r="P134" i="1" s="1"/>
  <c r="X134" i="1" s="1"/>
  <c r="O135" i="1"/>
  <c r="P135" i="1" s="1"/>
  <c r="X135" i="1" s="1"/>
  <c r="O136" i="1"/>
  <c r="P136" i="1" s="1"/>
  <c r="O137" i="1"/>
  <c r="P137" i="1" s="1"/>
  <c r="X137" i="1" s="1"/>
  <c r="O138" i="1"/>
  <c r="P138" i="1" s="1"/>
  <c r="X138" i="1" s="1"/>
  <c r="O139" i="1"/>
  <c r="P139" i="1" s="1"/>
  <c r="O140" i="1"/>
  <c r="P140" i="1" s="1"/>
  <c r="O141" i="1"/>
  <c r="P141" i="1" s="1"/>
  <c r="O142" i="1"/>
  <c r="O143" i="1"/>
  <c r="O144" i="1"/>
  <c r="O145" i="1"/>
  <c r="O146" i="1"/>
  <c r="P146" i="1" s="1"/>
  <c r="X146" i="1" s="1"/>
  <c r="O147" i="1"/>
  <c r="P147" i="1" s="1"/>
  <c r="X147" i="1" s="1"/>
  <c r="O148" i="1"/>
  <c r="P148" i="1" s="1"/>
  <c r="O149" i="1"/>
  <c r="P149" i="1" s="1"/>
  <c r="X149" i="1" s="1"/>
  <c r="O150" i="1"/>
  <c r="P150" i="1" s="1"/>
  <c r="X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O159" i="1"/>
  <c r="O160" i="1"/>
  <c r="P160" i="1" s="1"/>
  <c r="O161" i="1"/>
  <c r="P161" i="1" s="1"/>
  <c r="X161" i="1" s="1"/>
  <c r="O162" i="1"/>
  <c r="P162" i="1" s="1"/>
  <c r="X162" i="1" s="1"/>
  <c r="O163" i="1"/>
  <c r="P163" i="1" s="1"/>
  <c r="O164" i="1"/>
  <c r="P164" i="1" s="1"/>
  <c r="O165" i="1"/>
  <c r="P165" i="1" s="1"/>
  <c r="O166" i="1"/>
  <c r="O167" i="1"/>
  <c r="O168" i="1"/>
  <c r="O169" i="1"/>
  <c r="O170" i="1"/>
  <c r="P170" i="1" s="1"/>
  <c r="X170" i="1" s="1"/>
  <c r="O171" i="1"/>
  <c r="P171" i="1" s="1"/>
  <c r="X171" i="1" s="1"/>
  <c r="O172" i="1"/>
  <c r="P172" i="1" s="1"/>
  <c r="O173" i="1"/>
  <c r="P173" i="1" s="1"/>
  <c r="X173" i="1" s="1"/>
  <c r="O174" i="1"/>
  <c r="P174" i="1" s="1"/>
  <c r="X174" i="1" s="1"/>
  <c r="O175" i="1"/>
  <c r="P175" i="1" s="1"/>
  <c r="O176" i="1"/>
  <c r="P176" i="1" s="1"/>
  <c r="O177" i="1"/>
  <c r="P177" i="1" s="1"/>
  <c r="O178" i="1"/>
  <c r="O179" i="1"/>
  <c r="P179" i="1" s="1"/>
  <c r="O180" i="1"/>
  <c r="P180" i="1" s="1"/>
  <c r="O181" i="1"/>
  <c r="P181" i="1" s="1"/>
  <c r="O182" i="1"/>
  <c r="P182" i="1" s="1"/>
  <c r="X182" i="1" s="1"/>
  <c r="O183" i="1"/>
  <c r="P183" i="1" s="1"/>
  <c r="X183" i="1" s="1"/>
  <c r="O184" i="1"/>
  <c r="P184" i="1" s="1"/>
  <c r="O185" i="1"/>
  <c r="P185" i="1" s="1"/>
  <c r="X185" i="1" s="1"/>
  <c r="O186" i="1"/>
  <c r="P186" i="1" s="1"/>
  <c r="X186" i="1" s="1"/>
  <c r="O187" i="1"/>
  <c r="P187" i="1" s="1"/>
  <c r="O188" i="1"/>
  <c r="P188" i="1" s="1"/>
  <c r="O189" i="1"/>
  <c r="O190" i="1"/>
  <c r="O191" i="1"/>
  <c r="O192" i="1"/>
  <c r="O193" i="1"/>
  <c r="O194" i="1"/>
  <c r="O195" i="1"/>
  <c r="O196" i="1"/>
  <c r="P196" i="1" s="1"/>
  <c r="O197" i="1"/>
  <c r="P197" i="1" s="1"/>
  <c r="X197" i="1" s="1"/>
  <c r="O198" i="1"/>
  <c r="P198" i="1" s="1"/>
  <c r="X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X206" i="1" s="1"/>
  <c r="O207" i="1"/>
  <c r="P207" i="1" s="1"/>
  <c r="X207" i="1" s="1"/>
  <c r="O208" i="1"/>
  <c r="P208" i="1" s="1"/>
  <c r="O209" i="1"/>
  <c r="P209" i="1" s="1"/>
  <c r="X209" i="1" s="1"/>
  <c r="O210" i="1"/>
  <c r="P210" i="1" s="1"/>
  <c r="X210" i="1" s="1"/>
  <c r="O211" i="1"/>
  <c r="P211" i="1" s="1"/>
  <c r="O212" i="1"/>
  <c r="P212" i="1" s="1"/>
  <c r="O213" i="1"/>
  <c r="P213" i="1" s="1"/>
  <c r="O214" i="1"/>
  <c r="P214" i="1" s="1"/>
  <c r="O215" i="1"/>
  <c r="O216" i="1"/>
  <c r="O217" i="1"/>
  <c r="O218" i="1"/>
  <c r="O219" i="1"/>
  <c r="O220" i="1"/>
  <c r="P220" i="1" s="1"/>
  <c r="O221" i="1"/>
  <c r="P221" i="1" s="1"/>
  <c r="X221" i="1" s="1"/>
  <c r="O222" i="1"/>
  <c r="P222" i="1" s="1"/>
  <c r="X222" i="1" s="1"/>
  <c r="O223" i="1"/>
  <c r="P223" i="1" s="1"/>
  <c r="O224" i="1"/>
  <c r="P224" i="1" s="1"/>
  <c r="O225" i="1"/>
  <c r="O226" i="1"/>
  <c r="P226" i="1" s="1"/>
  <c r="O227" i="1"/>
  <c r="P227" i="1" s="1"/>
  <c r="O228" i="1"/>
  <c r="P228" i="1" s="1"/>
  <c r="O229" i="1"/>
  <c r="P229" i="1" s="1"/>
  <c r="O230" i="1"/>
  <c r="P230" i="1" s="1"/>
  <c r="X230" i="1" s="1"/>
  <c r="O231" i="1"/>
  <c r="P231" i="1" s="1"/>
  <c r="X231" i="1" s="1"/>
  <c r="O232" i="1"/>
  <c r="P232" i="1" s="1"/>
  <c r="O233" i="1"/>
  <c r="P233" i="1" s="1"/>
  <c r="X233" i="1" s="1"/>
  <c r="O234" i="1"/>
  <c r="P234" i="1" s="1"/>
  <c r="X234" i="1" s="1"/>
  <c r="O235" i="1"/>
  <c r="P235" i="1" s="1"/>
  <c r="O236" i="1"/>
  <c r="P236" i="1" s="1"/>
  <c r="O237" i="1"/>
  <c r="P237" i="1" s="1"/>
  <c r="O238" i="1"/>
  <c r="O239" i="1"/>
  <c r="O240" i="1"/>
  <c r="O241" i="1"/>
  <c r="O242" i="1"/>
  <c r="P242" i="1" s="1"/>
  <c r="X242" i="1" s="1"/>
  <c r="O243" i="1"/>
  <c r="P243" i="1" s="1"/>
  <c r="X243" i="1" s="1"/>
  <c r="O244" i="1"/>
  <c r="P244" i="1" s="1"/>
  <c r="O245" i="1"/>
  <c r="P245" i="1" s="1"/>
  <c r="X245" i="1" s="1"/>
  <c r="O246" i="1"/>
  <c r="P246" i="1" s="1"/>
  <c r="X246" i="1" s="1"/>
  <c r="O247" i="1"/>
  <c r="P247" i="1" s="1"/>
  <c r="O248" i="1"/>
  <c r="P248" i="1" s="1"/>
  <c r="O249" i="1"/>
  <c r="P249" i="1" s="1"/>
  <c r="O250" i="1"/>
  <c r="O251" i="1"/>
  <c r="P251" i="1" s="1"/>
  <c r="O252" i="1"/>
  <c r="O253" i="1"/>
  <c r="P253" i="1" s="1"/>
  <c r="O254" i="1"/>
  <c r="P254" i="1" s="1"/>
  <c r="X254" i="1" s="1"/>
  <c r="O255" i="1"/>
  <c r="P255" i="1" s="1"/>
  <c r="X255" i="1" s="1"/>
  <c r="O256" i="1"/>
  <c r="P256" i="1" s="1"/>
  <c r="O257" i="1"/>
  <c r="P257" i="1" s="1"/>
  <c r="X257" i="1" s="1"/>
  <c r="O258" i="1"/>
  <c r="P258" i="1" s="1"/>
  <c r="X258" i="1" s="1"/>
  <c r="O259" i="1"/>
  <c r="P259" i="1" s="1"/>
  <c r="O260" i="1"/>
  <c r="P260" i="1" s="1"/>
  <c r="O261" i="1"/>
  <c r="P261" i="1" s="1"/>
  <c r="O262" i="1"/>
  <c r="P262" i="1" s="1"/>
  <c r="O263" i="1"/>
  <c r="O264" i="1"/>
  <c r="O265" i="1"/>
  <c r="O266" i="1"/>
  <c r="P266" i="1" s="1"/>
  <c r="X266" i="1" s="1"/>
  <c r="O267" i="1"/>
  <c r="P267" i="1" s="1"/>
  <c r="X267" i="1" s="1"/>
  <c r="O268" i="1"/>
  <c r="P268" i="1" s="1"/>
  <c r="O269" i="1"/>
  <c r="P269" i="1" s="1"/>
  <c r="X269" i="1" s="1"/>
  <c r="O270" i="1"/>
  <c r="P270" i="1" s="1"/>
  <c r="X270" i="1" s="1"/>
  <c r="O271" i="1"/>
  <c r="P271" i="1" s="1"/>
  <c r="O272" i="1"/>
  <c r="P272" i="1" s="1"/>
  <c r="O273" i="1"/>
  <c r="P273" i="1" s="1"/>
  <c r="O274" i="1"/>
  <c r="O275" i="1"/>
  <c r="O276" i="1"/>
  <c r="P276" i="1" s="1"/>
  <c r="O277" i="1"/>
  <c r="P277" i="1" s="1"/>
  <c r="O278" i="1"/>
  <c r="P278" i="1" s="1"/>
  <c r="X278" i="1" s="1"/>
  <c r="O279" i="1"/>
  <c r="P279" i="1" s="1"/>
  <c r="X279" i="1" s="1"/>
  <c r="O280" i="1"/>
  <c r="P280" i="1" s="1"/>
  <c r="O281" i="1"/>
  <c r="P281" i="1" s="1"/>
  <c r="X281" i="1" s="1"/>
  <c r="O282" i="1"/>
  <c r="P282" i="1" s="1"/>
  <c r="X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O290" i="1"/>
  <c r="O291" i="1"/>
  <c r="O292" i="1"/>
  <c r="O293" i="1"/>
  <c r="P293" i="1" s="1"/>
  <c r="X293" i="1" s="1"/>
  <c r="O294" i="1"/>
  <c r="P294" i="1" s="1"/>
  <c r="X294" i="1" s="1"/>
  <c r="O295" i="1"/>
  <c r="P295" i="1" s="1"/>
  <c r="O296" i="1"/>
  <c r="P296" i="1" s="1"/>
  <c r="O297" i="1"/>
  <c r="P297" i="1" s="1"/>
  <c r="O298" i="1"/>
  <c r="O299" i="1"/>
  <c r="O300" i="1"/>
  <c r="O301" i="1"/>
  <c r="P301" i="1" s="1"/>
  <c r="O302" i="1"/>
  <c r="P302" i="1" s="1"/>
  <c r="X302" i="1" s="1"/>
  <c r="O303" i="1"/>
  <c r="P303" i="1" s="1"/>
  <c r="X303" i="1" s="1"/>
  <c r="O304" i="1"/>
  <c r="P304" i="1" s="1"/>
  <c r="O305" i="1"/>
  <c r="P305" i="1" s="1"/>
  <c r="X305" i="1" s="1"/>
  <c r="O306" i="1"/>
  <c r="P306" i="1" s="1"/>
  <c r="X306" i="1" s="1"/>
  <c r="O307" i="1"/>
  <c r="P307" i="1" s="1"/>
  <c r="O308" i="1"/>
  <c r="P308" i="1" s="1"/>
  <c r="O309" i="1"/>
  <c r="P309" i="1" s="1"/>
  <c r="O310" i="1"/>
  <c r="P310" i="1" s="1"/>
  <c r="O311" i="1"/>
  <c r="O312" i="1"/>
  <c r="P312" i="1" s="1"/>
  <c r="O313" i="1"/>
  <c r="P313" i="1" s="1"/>
  <c r="O314" i="1"/>
  <c r="P314" i="1" s="1"/>
  <c r="X314" i="1" s="1"/>
  <c r="O315" i="1"/>
  <c r="P315" i="1" s="1"/>
  <c r="X315" i="1" s="1"/>
  <c r="O316" i="1"/>
  <c r="P316" i="1" s="1"/>
  <c r="O317" i="1"/>
  <c r="P317" i="1" s="1"/>
  <c r="X317" i="1" s="1"/>
  <c r="O318" i="1"/>
  <c r="P318" i="1" s="1"/>
  <c r="X318" i="1" s="1"/>
  <c r="O319" i="1"/>
  <c r="P319" i="1" s="1"/>
  <c r="O320" i="1"/>
  <c r="P320" i="1" s="1"/>
  <c r="O321" i="1"/>
  <c r="P321" i="1" s="1"/>
  <c r="O322" i="1"/>
  <c r="P322" i="1" s="1"/>
  <c r="O323" i="1"/>
  <c r="O324" i="1"/>
  <c r="O325" i="1"/>
  <c r="O326" i="1"/>
  <c r="O327" i="1"/>
  <c r="P327" i="1" s="1"/>
  <c r="X327" i="1" s="1"/>
  <c r="O328" i="1"/>
  <c r="P328" i="1" s="1"/>
  <c r="O329" i="1"/>
  <c r="P329" i="1" s="1"/>
  <c r="X329" i="1" s="1"/>
  <c r="O330" i="1"/>
  <c r="P330" i="1" s="1"/>
  <c r="X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O337" i="1"/>
  <c r="O338" i="1"/>
  <c r="P338" i="1" s="1"/>
  <c r="X338" i="1" s="1"/>
  <c r="O339" i="1"/>
  <c r="O340" i="1"/>
  <c r="O341" i="1"/>
  <c r="P341" i="1" s="1"/>
  <c r="X341" i="1" s="1"/>
  <c r="O342" i="1"/>
  <c r="P342" i="1" s="1"/>
  <c r="O343" i="1"/>
  <c r="P343" i="1" s="1"/>
  <c r="O344" i="1"/>
  <c r="P344" i="1" s="1"/>
  <c r="O345" i="1"/>
  <c r="P345" i="1" s="1"/>
  <c r="O346" i="1"/>
  <c r="O347" i="1"/>
  <c r="O348" i="1"/>
  <c r="P348" i="1" s="1"/>
  <c r="O349" i="1"/>
  <c r="P349" i="1" s="1"/>
  <c r="O350" i="1"/>
  <c r="P350" i="1" s="1"/>
  <c r="X350" i="1" s="1"/>
  <c r="O351" i="1"/>
  <c r="P351" i="1" s="1"/>
  <c r="X351" i="1" s="1"/>
  <c r="O352" i="1"/>
  <c r="P352" i="1" s="1"/>
  <c r="O353" i="1"/>
  <c r="P353" i="1" s="1"/>
  <c r="X353" i="1" s="1"/>
  <c r="O354" i="1"/>
  <c r="P354" i="1" s="1"/>
  <c r="X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X362" i="1" s="1"/>
  <c r="O363" i="1"/>
  <c r="P363" i="1" s="1"/>
  <c r="X363" i="1" s="1"/>
  <c r="O364" i="1"/>
  <c r="P364" i="1" s="1"/>
  <c r="O365" i="1"/>
  <c r="P365" i="1" s="1"/>
  <c r="X365" i="1" s="1"/>
  <c r="O366" i="1"/>
  <c r="P366" i="1" s="1"/>
  <c r="X366" i="1" s="1"/>
  <c r="O367" i="1"/>
  <c r="P367" i="1" s="1"/>
  <c r="O368" i="1"/>
  <c r="P368" i="1" s="1"/>
  <c r="O369" i="1"/>
  <c r="O370" i="1"/>
  <c r="O371" i="1"/>
  <c r="O372" i="1"/>
  <c r="O373" i="1"/>
  <c r="O374" i="1"/>
  <c r="P374" i="1" s="1"/>
  <c r="X374" i="1" s="1"/>
  <c r="O375" i="1"/>
  <c r="P375" i="1" s="1"/>
  <c r="X375" i="1" s="1"/>
  <c r="O376" i="1"/>
  <c r="P376" i="1" s="1"/>
  <c r="O377" i="1"/>
  <c r="P377" i="1" s="1"/>
  <c r="X377" i="1" s="1"/>
  <c r="O378" i="1"/>
  <c r="P378" i="1" s="1"/>
  <c r="X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O386" i="1"/>
  <c r="P386" i="1" s="1"/>
  <c r="X386" i="1" s="1"/>
  <c r="O387" i="1"/>
  <c r="P387" i="1" s="1"/>
  <c r="X387" i="1" s="1"/>
  <c r="O388" i="1"/>
  <c r="P388" i="1" s="1"/>
  <c r="O389" i="1"/>
  <c r="P389" i="1" s="1"/>
  <c r="X389" i="1" s="1"/>
  <c r="O390" i="1"/>
  <c r="P390" i="1" s="1"/>
  <c r="X390" i="1" s="1"/>
  <c r="O391" i="1"/>
  <c r="P391" i="1" s="1"/>
  <c r="O392" i="1"/>
  <c r="P392" i="1" s="1"/>
  <c r="O393" i="1"/>
  <c r="P393" i="1" s="1"/>
  <c r="O394" i="1"/>
  <c r="O395" i="1"/>
  <c r="O396" i="1"/>
  <c r="O397" i="1"/>
  <c r="P397" i="1" s="1"/>
  <c r="O398" i="1"/>
  <c r="P398" i="1" s="1"/>
  <c r="X398" i="1" s="1"/>
  <c r="O399" i="1"/>
  <c r="P399" i="1" s="1"/>
  <c r="X399" i="1" s="1"/>
  <c r="O400" i="1"/>
  <c r="P400" i="1" s="1"/>
  <c r="O401" i="1"/>
  <c r="P401" i="1" s="1"/>
  <c r="X401" i="1" s="1"/>
  <c r="O402" i="1"/>
  <c r="P402" i="1" s="1"/>
  <c r="X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X410" i="1" s="1"/>
  <c r="O411" i="1"/>
  <c r="P411" i="1" s="1"/>
  <c r="X411" i="1" s="1"/>
  <c r="O412" i="1"/>
  <c r="P412" i="1" s="1"/>
  <c r="O413" i="1"/>
  <c r="P413" i="1" s="1"/>
  <c r="X413" i="1" s="1"/>
  <c r="O414" i="1"/>
  <c r="P414" i="1" s="1"/>
  <c r="O415" i="1"/>
  <c r="P415" i="1" s="1"/>
  <c r="O416" i="1"/>
  <c r="P416" i="1" s="1"/>
  <c r="O417" i="1"/>
  <c r="P417" i="1" s="1"/>
  <c r="O418" i="1"/>
  <c r="O419" i="1"/>
  <c r="O420" i="1"/>
  <c r="O421" i="1"/>
  <c r="O422" i="1"/>
  <c r="P422" i="1" s="1"/>
  <c r="X422" i="1" s="1"/>
  <c r="O423" i="1"/>
  <c r="P423" i="1" s="1"/>
  <c r="X423" i="1" s="1"/>
  <c r="O424" i="1"/>
  <c r="P424" i="1" s="1"/>
  <c r="O425" i="1"/>
  <c r="P425" i="1" s="1"/>
  <c r="X425" i="1" s="1"/>
  <c r="O426" i="1"/>
  <c r="P426" i="1" s="1"/>
  <c r="X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X434" i="1" s="1"/>
  <c r="O435" i="1"/>
  <c r="P435" i="1" s="1"/>
  <c r="X435" i="1" s="1"/>
  <c r="O436" i="1"/>
  <c r="O437" i="1"/>
  <c r="P437" i="1" s="1"/>
  <c r="X437" i="1" s="1"/>
  <c r="O438" i="1"/>
  <c r="P438" i="1" s="1"/>
  <c r="X438" i="1" s="1"/>
  <c r="O439" i="1"/>
  <c r="P439" i="1" s="1"/>
  <c r="O440" i="1"/>
  <c r="P440" i="1" s="1"/>
  <c r="O441" i="1"/>
  <c r="P441" i="1" s="1"/>
  <c r="O442" i="1"/>
  <c r="O443" i="1"/>
  <c r="P443" i="1" s="1"/>
  <c r="O444" i="1"/>
  <c r="P444" i="1" s="1"/>
  <c r="O445" i="1"/>
  <c r="P445" i="1" s="1"/>
  <c r="O446" i="1"/>
  <c r="P446" i="1" s="1"/>
  <c r="X446" i="1" s="1"/>
  <c r="O447" i="1"/>
  <c r="P447" i="1" s="1"/>
  <c r="X447" i="1" s="1"/>
  <c r="O448" i="1"/>
  <c r="P448" i="1" s="1"/>
  <c r="O449" i="1"/>
  <c r="P449" i="1" s="1"/>
  <c r="X449" i="1" s="1"/>
  <c r="O450" i="1"/>
  <c r="P450" i="1" s="1"/>
  <c r="X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X458" i="1" s="1"/>
  <c r="O459" i="1"/>
  <c r="P459" i="1" s="1"/>
  <c r="X459" i="1" s="1"/>
  <c r="O460" i="1"/>
  <c r="P460" i="1" s="1"/>
  <c r="O461" i="1"/>
  <c r="P461" i="1" s="1"/>
  <c r="O462" i="1"/>
  <c r="P462" i="1" s="1"/>
  <c r="X462" i="1" s="1"/>
  <c r="O463" i="1"/>
  <c r="P463" i="1" s="1"/>
  <c r="O464" i="1"/>
  <c r="P464" i="1" s="1"/>
  <c r="O465" i="1"/>
  <c r="P465" i="1" s="1"/>
  <c r="O466" i="1"/>
  <c r="P466" i="1" s="1"/>
  <c r="O467" i="1"/>
  <c r="O468" i="1"/>
  <c r="O469" i="1"/>
  <c r="O470" i="1"/>
  <c r="O471" i="1"/>
  <c r="O472" i="1"/>
  <c r="O473" i="1"/>
  <c r="P473" i="1" s="1"/>
  <c r="X473" i="1" s="1"/>
  <c r="O474" i="1"/>
  <c r="P474" i="1" s="1"/>
  <c r="X474" i="1" s="1"/>
  <c r="O475" i="1"/>
  <c r="P475" i="1" s="1"/>
  <c r="O476" i="1"/>
  <c r="P476" i="1" s="1"/>
  <c r="O477" i="1"/>
  <c r="O478" i="1"/>
  <c r="P478" i="1" s="1"/>
  <c r="O479" i="1"/>
  <c r="P479" i="1" s="1"/>
  <c r="O480" i="1"/>
  <c r="P480" i="1" s="1"/>
  <c r="O481" i="1"/>
  <c r="P481" i="1" s="1"/>
  <c r="O482" i="1"/>
  <c r="P482" i="1" s="1"/>
  <c r="X482" i="1" s="1"/>
  <c r="O483" i="1"/>
  <c r="P483" i="1" s="1"/>
  <c r="X483" i="1" s="1"/>
  <c r="O484" i="1"/>
  <c r="P484" i="1" s="1"/>
  <c r="O485" i="1"/>
  <c r="P485" i="1" s="1"/>
  <c r="X485" i="1" s="1"/>
  <c r="O486" i="1"/>
  <c r="P486" i="1" s="1"/>
  <c r="X486" i="1" s="1"/>
  <c r="O487" i="1"/>
  <c r="P487" i="1" s="1"/>
  <c r="O488" i="1"/>
  <c r="P488" i="1" s="1"/>
  <c r="O489" i="1"/>
  <c r="P489" i="1" s="1"/>
  <c r="O490" i="1"/>
  <c r="P490" i="1" s="1"/>
  <c r="O491" i="1"/>
  <c r="O492" i="1"/>
  <c r="O493" i="1"/>
  <c r="O494" i="1"/>
  <c r="P494" i="1" s="1"/>
  <c r="X494" i="1" s="1"/>
  <c r="O495" i="1"/>
  <c r="P495" i="1" s="1"/>
  <c r="X495" i="1" s="1"/>
  <c r="O496" i="1"/>
  <c r="P496" i="1" s="1"/>
  <c r="O497" i="1"/>
  <c r="P497" i="1" s="1"/>
  <c r="X497" i="1" s="1"/>
  <c r="O498" i="1"/>
  <c r="P498" i="1" s="1"/>
  <c r="X498" i="1" s="1"/>
  <c r="O499" i="1"/>
  <c r="P499" i="1" s="1"/>
  <c r="O500" i="1"/>
  <c r="P500" i="1" s="1"/>
  <c r="O501" i="1"/>
  <c r="P501" i="1" s="1"/>
  <c r="M3" i="1"/>
  <c r="M4" i="1"/>
  <c r="M5" i="1"/>
  <c r="T5" i="1" s="1"/>
  <c r="M6" i="1"/>
  <c r="T6" i="1" s="1"/>
  <c r="M7" i="1"/>
  <c r="M8" i="1"/>
  <c r="M9" i="1"/>
  <c r="T9" i="1" s="1"/>
  <c r="M10" i="1"/>
  <c r="R10" i="1" s="1"/>
  <c r="U10" i="1" s="1"/>
  <c r="M11" i="1"/>
  <c r="R11" i="1" s="1"/>
  <c r="U11" i="1" s="1"/>
  <c r="M12" i="1"/>
  <c r="M13" i="1"/>
  <c r="M14" i="1"/>
  <c r="M15" i="1"/>
  <c r="T15" i="1" s="1"/>
  <c r="M16" i="1"/>
  <c r="T16" i="1" s="1"/>
  <c r="M17" i="1"/>
  <c r="T17" i="1" s="1"/>
  <c r="M18" i="1"/>
  <c r="R18" i="1" s="1"/>
  <c r="M19" i="1"/>
  <c r="T19" i="1" s="1"/>
  <c r="M20" i="1"/>
  <c r="T20" i="1" s="1"/>
  <c r="M21" i="1"/>
  <c r="M22" i="1"/>
  <c r="M23" i="1"/>
  <c r="T23" i="1" s="1"/>
  <c r="M24" i="1"/>
  <c r="T24" i="1" s="1"/>
  <c r="M25" i="1"/>
  <c r="M26" i="1"/>
  <c r="M27" i="1"/>
  <c r="M28" i="1"/>
  <c r="M29" i="1"/>
  <c r="M30" i="1"/>
  <c r="R30" i="1" s="1"/>
  <c r="M31" i="1"/>
  <c r="R31" i="1" s="1"/>
  <c r="M32" i="1"/>
  <c r="R32" i="1" s="1"/>
  <c r="M33" i="1"/>
  <c r="T33" i="1" s="1"/>
  <c r="M34" i="1"/>
  <c r="M35" i="1"/>
  <c r="T35" i="1" s="1"/>
  <c r="M36" i="1"/>
  <c r="M37" i="1"/>
  <c r="M38" i="1"/>
  <c r="M39" i="1"/>
  <c r="M40" i="1"/>
  <c r="M41" i="1"/>
  <c r="M42" i="1"/>
  <c r="M43" i="1"/>
  <c r="R43" i="1" s="1"/>
  <c r="M44" i="1"/>
  <c r="R44" i="1" s="1"/>
  <c r="M45" i="1"/>
  <c r="M46" i="1"/>
  <c r="R46" i="1" s="1"/>
  <c r="U46" i="1" s="1"/>
  <c r="M47" i="1"/>
  <c r="R47" i="1" s="1"/>
  <c r="U47" i="1" s="1"/>
  <c r="M48" i="1"/>
  <c r="T48" i="1" s="1"/>
  <c r="M49" i="1"/>
  <c r="M50" i="1"/>
  <c r="M51" i="1"/>
  <c r="T51" i="1" s="1"/>
  <c r="M52" i="1"/>
  <c r="T52" i="1" s="1"/>
  <c r="M53" i="1"/>
  <c r="T53" i="1" s="1"/>
  <c r="M54" i="1"/>
  <c r="T54" i="1" s="1"/>
  <c r="M55" i="1"/>
  <c r="T55" i="1" s="1"/>
  <c r="M56" i="1"/>
  <c r="T56" i="1" s="1"/>
  <c r="M57" i="1"/>
  <c r="M58" i="1"/>
  <c r="M59" i="1"/>
  <c r="M60" i="1"/>
  <c r="M61" i="1"/>
  <c r="M62" i="1"/>
  <c r="M63" i="1"/>
  <c r="M64" i="1"/>
  <c r="M65" i="1"/>
  <c r="M66" i="1"/>
  <c r="M67" i="1"/>
  <c r="M68" i="1"/>
  <c r="R68" i="1" s="1"/>
  <c r="S68" i="1" s="1"/>
  <c r="M69" i="1"/>
  <c r="R69" i="1" s="1"/>
  <c r="M70" i="1"/>
  <c r="T70" i="1" s="1"/>
  <c r="M71" i="1"/>
  <c r="M72" i="1"/>
  <c r="M73" i="1"/>
  <c r="M74" i="1"/>
  <c r="M75" i="1"/>
  <c r="M76" i="1"/>
  <c r="M77" i="1"/>
  <c r="T77" i="1" s="1"/>
  <c r="M78" i="1"/>
  <c r="T78" i="1" s="1"/>
  <c r="M79" i="1"/>
  <c r="T79" i="1" s="1"/>
  <c r="M80" i="1"/>
  <c r="T80" i="1" s="1"/>
  <c r="M81" i="1"/>
  <c r="T81" i="1" s="1"/>
  <c r="M82" i="1"/>
  <c r="M83" i="1"/>
  <c r="M84" i="1"/>
  <c r="R84" i="1" s="1"/>
  <c r="M85" i="1"/>
  <c r="M86" i="1"/>
  <c r="M87" i="1"/>
  <c r="M88" i="1"/>
  <c r="R88" i="1" s="1"/>
  <c r="M89" i="1"/>
  <c r="T89" i="1" s="1"/>
  <c r="M90" i="1"/>
  <c r="T90" i="1" s="1"/>
  <c r="M91" i="1"/>
  <c r="T91" i="1" s="1"/>
  <c r="M92" i="1"/>
  <c r="T92" i="1" s="1"/>
  <c r="M93" i="1"/>
  <c r="T93" i="1" s="1"/>
  <c r="M94" i="1"/>
  <c r="T94" i="1" s="1"/>
  <c r="M95" i="1"/>
  <c r="T95" i="1" s="1"/>
  <c r="M96" i="1"/>
  <c r="M97" i="1"/>
  <c r="M98" i="1"/>
  <c r="M99" i="1"/>
  <c r="M100" i="1"/>
  <c r="R100" i="1" s="1"/>
  <c r="S100" i="1" s="1"/>
  <c r="M101" i="1"/>
  <c r="R101" i="1" s="1"/>
  <c r="M102" i="1"/>
  <c r="T102" i="1" s="1"/>
  <c r="M103" i="1"/>
  <c r="M104" i="1"/>
  <c r="M105" i="1"/>
  <c r="M106" i="1"/>
  <c r="T106" i="1" s="1"/>
  <c r="M107" i="1"/>
  <c r="M108" i="1"/>
  <c r="M109" i="1"/>
  <c r="M110" i="1"/>
  <c r="M111" i="1"/>
  <c r="M112" i="1"/>
  <c r="M113" i="1"/>
  <c r="R113" i="1" s="1"/>
  <c r="M114" i="1"/>
  <c r="R114" i="1" s="1"/>
  <c r="M115" i="1"/>
  <c r="M116" i="1"/>
  <c r="R116" i="1" s="1"/>
  <c r="M117" i="1"/>
  <c r="M118" i="1"/>
  <c r="M119" i="1"/>
  <c r="T119" i="1" s="1"/>
  <c r="M120" i="1"/>
  <c r="M121" i="1"/>
  <c r="M122" i="1"/>
  <c r="M123" i="1"/>
  <c r="T123" i="1" s="1"/>
  <c r="M124" i="1"/>
  <c r="T124" i="1" s="1"/>
  <c r="M125" i="1"/>
  <c r="T125" i="1" s="1"/>
  <c r="M126" i="1"/>
  <c r="M127" i="1"/>
  <c r="T127" i="1" s="1"/>
  <c r="M128" i="1"/>
  <c r="R128" i="1" s="1"/>
  <c r="M129" i="1"/>
  <c r="R129" i="1" s="1"/>
  <c r="U129" i="1" s="1"/>
  <c r="M130" i="1"/>
  <c r="R130" i="1" s="1"/>
  <c r="U130" i="1" s="1"/>
  <c r="M131" i="1"/>
  <c r="R131" i="1" s="1"/>
  <c r="U131" i="1" s="1"/>
  <c r="M132" i="1"/>
  <c r="M133" i="1"/>
  <c r="M134" i="1"/>
  <c r="M135" i="1"/>
  <c r="T135" i="1" s="1"/>
  <c r="M136" i="1"/>
  <c r="T136" i="1" s="1"/>
  <c r="M137" i="1"/>
  <c r="T137" i="1" s="1"/>
  <c r="M138" i="1"/>
  <c r="M139" i="1"/>
  <c r="M140" i="1"/>
  <c r="M141" i="1"/>
  <c r="M142" i="1"/>
  <c r="T142" i="1" s="1"/>
  <c r="M143" i="1"/>
  <c r="M144" i="1"/>
  <c r="R144" i="1" s="1"/>
  <c r="M145" i="1"/>
  <c r="M146" i="1"/>
  <c r="M147" i="1"/>
  <c r="M148" i="1"/>
  <c r="M149" i="1"/>
  <c r="R149" i="1" s="1"/>
  <c r="M150" i="1"/>
  <c r="R150" i="1" s="1"/>
  <c r="M151" i="1"/>
  <c r="T151" i="1" s="1"/>
  <c r="M152" i="1"/>
  <c r="M153" i="1"/>
  <c r="T153" i="1" s="1"/>
  <c r="M154" i="1"/>
  <c r="T154" i="1" s="1"/>
  <c r="M155" i="1"/>
  <c r="R155" i="1" s="1"/>
  <c r="M156" i="1"/>
  <c r="M157" i="1"/>
  <c r="M158" i="1"/>
  <c r="M159" i="1"/>
  <c r="T159" i="1" s="1"/>
  <c r="M160" i="1"/>
  <c r="M161" i="1"/>
  <c r="T161" i="1" s="1"/>
  <c r="M162" i="1"/>
  <c r="T162" i="1" s="1"/>
  <c r="M163" i="1"/>
  <c r="T163" i="1" s="1"/>
  <c r="M164" i="1"/>
  <c r="M165" i="1"/>
  <c r="R165" i="1" s="1"/>
  <c r="M166" i="1"/>
  <c r="T166" i="1" s="1"/>
  <c r="M167" i="1"/>
  <c r="T167" i="1" s="1"/>
  <c r="M168" i="1"/>
  <c r="M169" i="1"/>
  <c r="M170" i="1"/>
  <c r="M171" i="1"/>
  <c r="T171" i="1" s="1"/>
  <c r="M172" i="1"/>
  <c r="M173" i="1"/>
  <c r="R173" i="1" s="1"/>
  <c r="U173" i="1" s="1"/>
  <c r="M174" i="1"/>
  <c r="T174" i="1" s="1"/>
  <c r="M175" i="1"/>
  <c r="R175" i="1" s="1"/>
  <c r="M176" i="1"/>
  <c r="R176" i="1" s="1"/>
  <c r="M177" i="1"/>
  <c r="R177" i="1" s="1"/>
  <c r="M178" i="1"/>
  <c r="R178" i="1" s="1"/>
  <c r="S178" i="1" s="1"/>
  <c r="M179" i="1"/>
  <c r="T179" i="1" s="1"/>
  <c r="M180" i="1"/>
  <c r="M181" i="1"/>
  <c r="M182" i="1"/>
  <c r="T182" i="1" s="1"/>
  <c r="M183" i="1"/>
  <c r="M184" i="1"/>
  <c r="M185" i="1"/>
  <c r="M186" i="1"/>
  <c r="T186" i="1" s="1"/>
  <c r="M187" i="1"/>
  <c r="M188" i="1"/>
  <c r="R188" i="1" s="1"/>
  <c r="S188" i="1" s="1"/>
  <c r="M189" i="1"/>
  <c r="R189" i="1" s="1"/>
  <c r="M190" i="1"/>
  <c r="R190" i="1" s="1"/>
  <c r="S190" i="1" s="1"/>
  <c r="M191" i="1"/>
  <c r="M192" i="1"/>
  <c r="M193" i="1"/>
  <c r="M194" i="1"/>
  <c r="M195" i="1"/>
  <c r="M196" i="1"/>
  <c r="M197" i="1"/>
  <c r="T197" i="1" s="1"/>
  <c r="M198" i="1"/>
  <c r="T198" i="1" s="1"/>
  <c r="M199" i="1"/>
  <c r="T199" i="1" s="1"/>
  <c r="M200" i="1"/>
  <c r="M201" i="1"/>
  <c r="M202" i="1"/>
  <c r="M203" i="1"/>
  <c r="M204" i="1"/>
  <c r="M205" i="1"/>
  <c r="M206" i="1"/>
  <c r="T206" i="1" s="1"/>
  <c r="M207" i="1"/>
  <c r="M208" i="1"/>
  <c r="M209" i="1"/>
  <c r="T209" i="1" s="1"/>
  <c r="M210" i="1"/>
  <c r="T210" i="1" s="1"/>
  <c r="M211" i="1"/>
  <c r="T211" i="1" s="1"/>
  <c r="M212" i="1"/>
  <c r="T212" i="1" s="1"/>
  <c r="M213" i="1"/>
  <c r="T213" i="1" s="1"/>
  <c r="M214" i="1"/>
  <c r="R214" i="1" s="1"/>
  <c r="U214" i="1" s="1"/>
  <c r="M215" i="1"/>
  <c r="M216" i="1"/>
  <c r="M217" i="1"/>
  <c r="M218" i="1"/>
  <c r="M219" i="1"/>
  <c r="T219" i="1" s="1"/>
  <c r="M220" i="1"/>
  <c r="M221" i="1"/>
  <c r="R221" i="1" s="1"/>
  <c r="M222" i="1"/>
  <c r="R222" i="1" s="1"/>
  <c r="M223" i="1"/>
  <c r="M224" i="1"/>
  <c r="M225" i="1"/>
  <c r="T225" i="1" s="1"/>
  <c r="M226" i="1"/>
  <c r="T226" i="1" s="1"/>
  <c r="M227" i="1"/>
  <c r="R227" i="1" s="1"/>
  <c r="M228" i="1"/>
  <c r="M229" i="1"/>
  <c r="M230" i="1"/>
  <c r="M231" i="1"/>
  <c r="M232" i="1"/>
  <c r="R232" i="1" s="1"/>
  <c r="M233" i="1"/>
  <c r="M234" i="1"/>
  <c r="M235" i="1"/>
  <c r="R235" i="1" s="1"/>
  <c r="M236" i="1"/>
  <c r="R236" i="1" s="1"/>
  <c r="M237" i="1"/>
  <c r="R237" i="1" s="1"/>
  <c r="S237" i="1" s="1"/>
  <c r="M238" i="1"/>
  <c r="R238" i="1" s="1"/>
  <c r="M239" i="1"/>
  <c r="T239" i="1" s="1"/>
  <c r="M240" i="1"/>
  <c r="T240" i="1" s="1"/>
  <c r="M241" i="1"/>
  <c r="M242" i="1"/>
  <c r="T242" i="1" s="1"/>
  <c r="M243" i="1"/>
  <c r="T243" i="1" s="1"/>
  <c r="M244" i="1"/>
  <c r="R244" i="1" s="1"/>
  <c r="M245" i="1"/>
  <c r="T245" i="1" s="1"/>
  <c r="M246" i="1"/>
  <c r="T246" i="1" s="1"/>
  <c r="M247" i="1"/>
  <c r="M248" i="1"/>
  <c r="T248" i="1" s="1"/>
  <c r="M249" i="1"/>
  <c r="T249" i="1" s="1"/>
  <c r="M250" i="1"/>
  <c r="T250" i="1" s="1"/>
  <c r="M251" i="1"/>
  <c r="R251" i="1" s="1"/>
  <c r="M252" i="1"/>
  <c r="M253" i="1"/>
  <c r="M254" i="1"/>
  <c r="M255" i="1"/>
  <c r="T255" i="1" s="1"/>
  <c r="M256" i="1"/>
  <c r="T256" i="1" s="1"/>
  <c r="M257" i="1"/>
  <c r="M258" i="1"/>
  <c r="M259" i="1"/>
  <c r="M260" i="1"/>
  <c r="M261" i="1"/>
  <c r="M262" i="1"/>
  <c r="T262" i="1" s="1"/>
  <c r="M263" i="1"/>
  <c r="T263" i="1" s="1"/>
  <c r="M264" i="1"/>
  <c r="T264" i="1" s="1"/>
  <c r="M265" i="1"/>
  <c r="M266" i="1"/>
  <c r="T266" i="1" s="1"/>
  <c r="M267" i="1"/>
  <c r="M268" i="1"/>
  <c r="M269" i="1"/>
  <c r="M270" i="1"/>
  <c r="M271" i="1"/>
  <c r="T271" i="1" s="1"/>
  <c r="M272" i="1"/>
  <c r="M273" i="1"/>
  <c r="R273" i="1" s="1"/>
  <c r="U273" i="1" s="1"/>
  <c r="M274" i="1"/>
  <c r="R274" i="1" s="1"/>
  <c r="U274" i="1" s="1"/>
  <c r="M275" i="1"/>
  <c r="R275" i="1" s="1"/>
  <c r="M276" i="1"/>
  <c r="M277" i="1"/>
  <c r="M278" i="1"/>
  <c r="M279" i="1"/>
  <c r="M280" i="1"/>
  <c r="R280" i="1" s="1"/>
  <c r="M281" i="1"/>
  <c r="M282" i="1"/>
  <c r="T282" i="1" s="1"/>
  <c r="M283" i="1"/>
  <c r="R283" i="1" s="1"/>
  <c r="U283" i="1" s="1"/>
  <c r="M284" i="1"/>
  <c r="R284" i="1" s="1"/>
  <c r="M285" i="1"/>
  <c r="T285" i="1" s="1"/>
  <c r="M286" i="1"/>
  <c r="M287" i="1"/>
  <c r="M288" i="1"/>
  <c r="M289" i="1"/>
  <c r="M290" i="1"/>
  <c r="M291" i="1"/>
  <c r="T291" i="1" s="1"/>
  <c r="M292" i="1"/>
  <c r="M293" i="1"/>
  <c r="M294" i="1"/>
  <c r="M295" i="1"/>
  <c r="M296" i="1"/>
  <c r="M297" i="1"/>
  <c r="T297" i="1" s="1"/>
  <c r="M298" i="1"/>
  <c r="R298" i="1" s="1"/>
  <c r="M299" i="1"/>
  <c r="M300" i="1"/>
  <c r="M301" i="1"/>
  <c r="M302" i="1"/>
  <c r="M303" i="1"/>
  <c r="M304" i="1"/>
  <c r="M305" i="1"/>
  <c r="M306" i="1"/>
  <c r="M307" i="1"/>
  <c r="M308" i="1"/>
  <c r="M309" i="1"/>
  <c r="M310" i="1"/>
  <c r="T310" i="1" s="1"/>
  <c r="M311" i="1"/>
  <c r="T311" i="1" s="1"/>
  <c r="M312" i="1"/>
  <c r="M313" i="1"/>
  <c r="M314" i="1"/>
  <c r="M315" i="1"/>
  <c r="T315" i="1" s="1"/>
  <c r="M316" i="1"/>
  <c r="M317" i="1"/>
  <c r="M318" i="1"/>
  <c r="R318" i="1" s="1"/>
  <c r="S318" i="1" s="1"/>
  <c r="M319" i="1"/>
  <c r="M320" i="1"/>
  <c r="M321" i="1"/>
  <c r="M322" i="1"/>
  <c r="R322" i="1" s="1"/>
  <c r="U322" i="1" s="1"/>
  <c r="M323" i="1"/>
  <c r="R323" i="1" s="1"/>
  <c r="U323" i="1" s="1"/>
  <c r="M324" i="1"/>
  <c r="T324" i="1" s="1"/>
  <c r="M325" i="1"/>
  <c r="M326" i="1"/>
  <c r="T326" i="1" s="1"/>
  <c r="M327" i="1"/>
  <c r="T327" i="1" s="1"/>
  <c r="M328" i="1"/>
  <c r="T328" i="1" s="1"/>
  <c r="M329" i="1"/>
  <c r="T329" i="1" s="1"/>
  <c r="M330" i="1"/>
  <c r="T330" i="1" s="1"/>
  <c r="M331" i="1"/>
  <c r="M332" i="1"/>
  <c r="M333" i="1"/>
  <c r="T333" i="1" s="1"/>
  <c r="M334" i="1"/>
  <c r="R334" i="1" s="1"/>
  <c r="M335" i="1"/>
  <c r="R335" i="1" s="1"/>
  <c r="U335" i="1" s="1"/>
  <c r="M336" i="1"/>
  <c r="M337" i="1"/>
  <c r="M338" i="1"/>
  <c r="M339" i="1"/>
  <c r="T339" i="1" s="1"/>
  <c r="M340" i="1"/>
  <c r="M341" i="1"/>
  <c r="R341" i="1" s="1"/>
  <c r="S341" i="1" s="1"/>
  <c r="M342" i="1"/>
  <c r="M343" i="1"/>
  <c r="M344" i="1"/>
  <c r="M345" i="1"/>
  <c r="M346" i="1"/>
  <c r="M347" i="1"/>
  <c r="T347" i="1" s="1"/>
  <c r="M348" i="1"/>
  <c r="M349" i="1"/>
  <c r="M350" i="1"/>
  <c r="T350" i="1" s="1"/>
  <c r="M351" i="1"/>
  <c r="M352" i="1"/>
  <c r="T352" i="1" s="1"/>
  <c r="M353" i="1"/>
  <c r="T353" i="1" s="1"/>
  <c r="M354" i="1"/>
  <c r="T354" i="1" s="1"/>
  <c r="M355" i="1"/>
  <c r="M356" i="1"/>
  <c r="M357" i="1"/>
  <c r="M358" i="1"/>
  <c r="R358" i="1" s="1"/>
  <c r="M359" i="1"/>
  <c r="M360" i="1"/>
  <c r="M361" i="1"/>
  <c r="M362" i="1"/>
  <c r="M363" i="1"/>
  <c r="T363" i="1" s="1"/>
  <c r="M364" i="1"/>
  <c r="M365" i="1"/>
  <c r="M366" i="1"/>
  <c r="T366" i="1" s="1"/>
  <c r="M367" i="1"/>
  <c r="M368" i="1"/>
  <c r="M369" i="1"/>
  <c r="M370" i="1"/>
  <c r="T370" i="1" s="1"/>
  <c r="M371" i="1"/>
  <c r="M372" i="1"/>
  <c r="M373" i="1"/>
  <c r="M374" i="1"/>
  <c r="M375" i="1"/>
  <c r="M376" i="1"/>
  <c r="R376" i="1" s="1"/>
  <c r="S376" i="1" s="1"/>
  <c r="M377" i="1"/>
  <c r="T377" i="1" s="1"/>
  <c r="M378" i="1"/>
  <c r="T378" i="1" s="1"/>
  <c r="M379" i="1"/>
  <c r="T379" i="1" s="1"/>
  <c r="M380" i="1"/>
  <c r="T380" i="1" s="1"/>
  <c r="M381" i="1"/>
  <c r="T381" i="1" s="1"/>
  <c r="M382" i="1"/>
  <c r="M383" i="1"/>
  <c r="T383" i="1" s="1"/>
  <c r="M384" i="1"/>
  <c r="R384" i="1" s="1"/>
  <c r="M385" i="1"/>
  <c r="M386" i="1"/>
  <c r="M387" i="1"/>
  <c r="M388" i="1"/>
  <c r="R388" i="1" s="1"/>
  <c r="U388" i="1" s="1"/>
  <c r="M389" i="1"/>
  <c r="M390" i="1"/>
  <c r="M391" i="1"/>
  <c r="T391" i="1" s="1"/>
  <c r="M392" i="1"/>
  <c r="T392" i="1" s="1"/>
  <c r="M393" i="1"/>
  <c r="T393" i="1" s="1"/>
  <c r="M394" i="1"/>
  <c r="T394" i="1" s="1"/>
  <c r="M395" i="1"/>
  <c r="T395" i="1" s="1"/>
  <c r="M396" i="1"/>
  <c r="R396" i="1" s="1"/>
  <c r="U396" i="1" s="1"/>
  <c r="M397" i="1"/>
  <c r="M398" i="1"/>
  <c r="M399" i="1"/>
  <c r="M400" i="1"/>
  <c r="M401" i="1"/>
  <c r="M402" i="1"/>
  <c r="T402" i="1" s="1"/>
  <c r="M403" i="1"/>
  <c r="T403" i="1" s="1"/>
  <c r="M404" i="1"/>
  <c r="T404" i="1" s="1"/>
  <c r="M405" i="1"/>
  <c r="R405" i="1" s="1"/>
  <c r="M406" i="1"/>
  <c r="R406" i="1" s="1"/>
  <c r="M407" i="1"/>
  <c r="T407" i="1" s="1"/>
  <c r="M408" i="1"/>
  <c r="M409" i="1"/>
  <c r="M410" i="1"/>
  <c r="M411" i="1"/>
  <c r="T411" i="1" s="1"/>
  <c r="M412" i="1"/>
  <c r="M413" i="1"/>
  <c r="T413" i="1" s="1"/>
  <c r="M414" i="1"/>
  <c r="R414" i="1" s="1"/>
  <c r="M415" i="1"/>
  <c r="T415" i="1" s="1"/>
  <c r="M416" i="1"/>
  <c r="T416" i="1" s="1"/>
  <c r="M417" i="1"/>
  <c r="M418" i="1"/>
  <c r="R418" i="1" s="1"/>
  <c r="M419" i="1"/>
  <c r="T419" i="1" s="1"/>
  <c r="M420" i="1"/>
  <c r="T420" i="1" s="1"/>
  <c r="M421" i="1"/>
  <c r="T421" i="1" s="1"/>
  <c r="M422" i="1"/>
  <c r="M423" i="1"/>
  <c r="M424" i="1"/>
  <c r="M425" i="1"/>
  <c r="T425" i="1" s="1"/>
  <c r="M426" i="1"/>
  <c r="T426" i="1" s="1"/>
  <c r="M427" i="1"/>
  <c r="R427" i="1" s="1"/>
  <c r="M428" i="1"/>
  <c r="T428" i="1" s="1"/>
  <c r="M429" i="1"/>
  <c r="T429" i="1" s="1"/>
  <c r="M430" i="1"/>
  <c r="R430" i="1" s="1"/>
  <c r="M431" i="1"/>
  <c r="T431" i="1" s="1"/>
  <c r="M432" i="1"/>
  <c r="M433" i="1"/>
  <c r="M434" i="1"/>
  <c r="M435" i="1"/>
  <c r="M436" i="1"/>
  <c r="M437" i="1"/>
  <c r="R437" i="1" s="1"/>
  <c r="U437" i="1" s="1"/>
  <c r="M438" i="1"/>
  <c r="R438" i="1" s="1"/>
  <c r="U438" i="1" s="1"/>
  <c r="M439" i="1"/>
  <c r="R439" i="1" s="1"/>
  <c r="M440" i="1"/>
  <c r="M441" i="1"/>
  <c r="M442" i="1"/>
  <c r="T442" i="1" s="1"/>
  <c r="M443" i="1"/>
  <c r="T443" i="1" s="1"/>
  <c r="M444" i="1"/>
  <c r="M445" i="1"/>
  <c r="M446" i="1"/>
  <c r="M447" i="1"/>
  <c r="T447" i="1" s="1"/>
  <c r="M448" i="1"/>
  <c r="M449" i="1"/>
  <c r="T449" i="1" s="1"/>
  <c r="M450" i="1"/>
  <c r="M451" i="1"/>
  <c r="M452" i="1"/>
  <c r="M453" i="1"/>
  <c r="M454" i="1"/>
  <c r="T454" i="1" s="1"/>
  <c r="M455" i="1"/>
  <c r="T455" i="1" s="1"/>
  <c r="M456" i="1"/>
  <c r="M457" i="1"/>
  <c r="M458" i="1"/>
  <c r="M459" i="1"/>
  <c r="T459" i="1" s="1"/>
  <c r="M460" i="1"/>
  <c r="T460" i="1" s="1"/>
  <c r="M461" i="1"/>
  <c r="M462" i="1"/>
  <c r="M463" i="1"/>
  <c r="R463" i="1" s="1"/>
  <c r="U463" i="1" s="1"/>
  <c r="M464" i="1"/>
  <c r="R464" i="1" s="1"/>
  <c r="M465" i="1"/>
  <c r="R465" i="1" s="1"/>
  <c r="U465" i="1" s="1"/>
  <c r="M466" i="1"/>
  <c r="R466" i="1" s="1"/>
  <c r="U466" i="1" s="1"/>
  <c r="M467" i="1"/>
  <c r="T467" i="1" s="1"/>
  <c r="M468" i="1"/>
  <c r="M469" i="1"/>
  <c r="M470" i="1"/>
  <c r="M471" i="1"/>
  <c r="M472" i="1"/>
  <c r="M473" i="1"/>
  <c r="M474" i="1"/>
  <c r="T474" i="1" s="1"/>
  <c r="M475" i="1"/>
  <c r="T475" i="1" s="1"/>
  <c r="M476" i="1"/>
  <c r="M477" i="1"/>
  <c r="M478" i="1"/>
  <c r="M479" i="1"/>
  <c r="M480" i="1"/>
  <c r="R480" i="1" s="1"/>
  <c r="M481" i="1"/>
  <c r="T481" i="1" s="1"/>
  <c r="M482" i="1"/>
  <c r="M483" i="1"/>
  <c r="T483" i="1" s="1"/>
  <c r="M484" i="1"/>
  <c r="M485" i="1"/>
  <c r="M486" i="1"/>
  <c r="R486" i="1" s="1"/>
  <c r="M487" i="1"/>
  <c r="T487" i="1" s="1"/>
  <c r="M488" i="1"/>
  <c r="T488" i="1" s="1"/>
  <c r="M489" i="1"/>
  <c r="M490" i="1"/>
  <c r="R490" i="1" s="1"/>
  <c r="U490" i="1" s="1"/>
  <c r="M491" i="1"/>
  <c r="R491" i="1" s="1"/>
  <c r="U491" i="1" s="1"/>
  <c r="M492" i="1"/>
  <c r="M493" i="1"/>
  <c r="M494" i="1"/>
  <c r="M495" i="1"/>
  <c r="T495" i="1" s="1"/>
  <c r="M496" i="1"/>
  <c r="M497" i="1"/>
  <c r="M498" i="1"/>
  <c r="M499" i="1"/>
  <c r="M500" i="1"/>
  <c r="M501" i="1"/>
  <c r="R501" i="1" s="1"/>
  <c r="O2" i="1"/>
  <c r="P2" i="1" s="1"/>
  <c r="X2" i="1" s="1"/>
  <c r="I501" i="1"/>
  <c r="F501" i="1" a="1"/>
  <c r="F501" i="1" s="1"/>
  <c r="A501" i="1"/>
  <c r="I500" i="1"/>
  <c r="F500" i="1" a="1"/>
  <c r="F500" i="1" s="1"/>
  <c r="A500" i="1"/>
  <c r="I499" i="1"/>
  <c r="F499" i="1" a="1"/>
  <c r="F499" i="1" s="1"/>
  <c r="A499" i="1"/>
  <c r="I498" i="1"/>
  <c r="F498" i="1" a="1"/>
  <c r="F498" i="1" s="1"/>
  <c r="A498" i="1"/>
  <c r="I497" i="1"/>
  <c r="F497" i="1" a="1"/>
  <c r="F497" i="1" s="1"/>
  <c r="A497" i="1"/>
  <c r="I496" i="1"/>
  <c r="F496" i="1" a="1"/>
  <c r="F496" i="1" s="1"/>
  <c r="A496" i="1"/>
  <c r="I495" i="1"/>
  <c r="F495" i="1" a="1"/>
  <c r="F495" i="1" s="1"/>
  <c r="A495" i="1"/>
  <c r="I494" i="1"/>
  <c r="F494" i="1" a="1"/>
  <c r="F494" i="1" s="1"/>
  <c r="A494" i="1"/>
  <c r="I493" i="1"/>
  <c r="F493" i="1" a="1"/>
  <c r="F493" i="1" s="1"/>
  <c r="A493" i="1"/>
  <c r="I492" i="1"/>
  <c r="F492" i="1" a="1"/>
  <c r="F492" i="1" s="1"/>
  <c r="A492" i="1"/>
  <c r="I491" i="1"/>
  <c r="F491" i="1" a="1"/>
  <c r="F491" i="1" s="1"/>
  <c r="A491" i="1"/>
  <c r="I490" i="1"/>
  <c r="F490" i="1" a="1"/>
  <c r="F490" i="1" s="1"/>
  <c r="A490" i="1"/>
  <c r="I489" i="1"/>
  <c r="F489" i="1" a="1"/>
  <c r="F489" i="1" s="1"/>
  <c r="A489" i="1"/>
  <c r="I488" i="1"/>
  <c r="F488" i="1" a="1"/>
  <c r="F488" i="1" s="1"/>
  <c r="A488" i="1"/>
  <c r="I487" i="1"/>
  <c r="F487" i="1" a="1"/>
  <c r="F487" i="1" s="1"/>
  <c r="A487" i="1"/>
  <c r="I486" i="1"/>
  <c r="F486" i="1" a="1"/>
  <c r="F486" i="1" s="1"/>
  <c r="A486" i="1"/>
  <c r="I485" i="1"/>
  <c r="F485" i="1" a="1"/>
  <c r="F485" i="1" s="1"/>
  <c r="A485" i="1"/>
  <c r="I484" i="1"/>
  <c r="F484" i="1" a="1"/>
  <c r="F484" i="1" s="1"/>
  <c r="A484" i="1"/>
  <c r="I483" i="1"/>
  <c r="F483" i="1" a="1"/>
  <c r="F483" i="1" s="1"/>
  <c r="A483" i="1"/>
  <c r="I482" i="1"/>
  <c r="F482" i="1" a="1"/>
  <c r="F482" i="1" s="1"/>
  <c r="A482" i="1"/>
  <c r="I481" i="1"/>
  <c r="F481" i="1" a="1"/>
  <c r="F481" i="1" s="1"/>
  <c r="A481" i="1"/>
  <c r="I480" i="1"/>
  <c r="F480" i="1" a="1"/>
  <c r="F480" i="1" s="1"/>
  <c r="A480" i="1"/>
  <c r="I479" i="1"/>
  <c r="F479" i="1" a="1"/>
  <c r="F479" i="1" s="1"/>
  <c r="A479" i="1"/>
  <c r="I478" i="1"/>
  <c r="F478" i="1" a="1"/>
  <c r="F478" i="1" s="1"/>
  <c r="A478" i="1"/>
  <c r="I477" i="1"/>
  <c r="F477" i="1" a="1"/>
  <c r="F477" i="1" s="1"/>
  <c r="A477" i="1"/>
  <c r="I476" i="1"/>
  <c r="F476" i="1" a="1"/>
  <c r="F476" i="1" s="1"/>
  <c r="A476" i="1"/>
  <c r="I475" i="1"/>
  <c r="F475" i="1" a="1"/>
  <c r="F475" i="1" s="1"/>
  <c r="A475" i="1"/>
  <c r="I474" i="1"/>
  <c r="F474" i="1" a="1"/>
  <c r="F474" i="1" s="1"/>
  <c r="A474" i="1"/>
  <c r="I473" i="1"/>
  <c r="F473" i="1" a="1"/>
  <c r="F473" i="1" s="1"/>
  <c r="A473" i="1"/>
  <c r="I472" i="1"/>
  <c r="F472" i="1" a="1"/>
  <c r="F472" i="1" s="1"/>
  <c r="A472" i="1"/>
  <c r="I471" i="1"/>
  <c r="F471" i="1" a="1"/>
  <c r="F471" i="1" s="1"/>
  <c r="A471" i="1"/>
  <c r="I470" i="1"/>
  <c r="F470" i="1" a="1"/>
  <c r="F470" i="1" s="1"/>
  <c r="A470" i="1"/>
  <c r="I469" i="1"/>
  <c r="F469" i="1" a="1"/>
  <c r="F469" i="1" s="1"/>
  <c r="A469" i="1"/>
  <c r="I468" i="1"/>
  <c r="F468" i="1" a="1"/>
  <c r="F468" i="1" s="1"/>
  <c r="A468" i="1"/>
  <c r="I467" i="1"/>
  <c r="F467" i="1" a="1"/>
  <c r="F467" i="1" s="1"/>
  <c r="A467" i="1"/>
  <c r="I466" i="1"/>
  <c r="F466" i="1" a="1"/>
  <c r="F466" i="1" s="1"/>
  <c r="A466" i="1"/>
  <c r="I465" i="1"/>
  <c r="F465" i="1" a="1"/>
  <c r="F465" i="1" s="1"/>
  <c r="A465" i="1"/>
  <c r="I464" i="1"/>
  <c r="F464" i="1" a="1"/>
  <c r="F464" i="1" s="1"/>
  <c r="A464" i="1"/>
  <c r="I463" i="1"/>
  <c r="F463" i="1" a="1"/>
  <c r="F463" i="1" s="1"/>
  <c r="A463" i="1"/>
  <c r="I462" i="1"/>
  <c r="F462" i="1" a="1"/>
  <c r="F462" i="1" s="1"/>
  <c r="A462" i="1"/>
  <c r="I461" i="1"/>
  <c r="F461" i="1" a="1"/>
  <c r="F461" i="1" s="1"/>
  <c r="A461" i="1"/>
  <c r="I460" i="1"/>
  <c r="F460" i="1" a="1"/>
  <c r="F460" i="1" s="1"/>
  <c r="A460" i="1"/>
  <c r="I459" i="1"/>
  <c r="F459" i="1" a="1"/>
  <c r="F459" i="1" s="1"/>
  <c r="A459" i="1"/>
  <c r="I458" i="1"/>
  <c r="F458" i="1" a="1"/>
  <c r="F458" i="1" s="1"/>
  <c r="A458" i="1"/>
  <c r="I457" i="1"/>
  <c r="F457" i="1" a="1"/>
  <c r="F457" i="1" s="1"/>
  <c r="A457" i="1"/>
  <c r="I456" i="1"/>
  <c r="F456" i="1" a="1"/>
  <c r="F456" i="1" s="1"/>
  <c r="A456" i="1"/>
  <c r="I455" i="1"/>
  <c r="F455" i="1" a="1"/>
  <c r="F455" i="1" s="1"/>
  <c r="A455" i="1"/>
  <c r="I454" i="1"/>
  <c r="F454" i="1" a="1"/>
  <c r="F454" i="1" s="1"/>
  <c r="A454" i="1"/>
  <c r="I453" i="1"/>
  <c r="F453" i="1" a="1"/>
  <c r="F453" i="1" s="1"/>
  <c r="A453" i="1"/>
  <c r="I452" i="1"/>
  <c r="F452" i="1" a="1"/>
  <c r="F452" i="1" s="1"/>
  <c r="A452" i="1"/>
  <c r="I451" i="1"/>
  <c r="F451" i="1" a="1"/>
  <c r="F451" i="1" s="1"/>
  <c r="A451" i="1"/>
  <c r="I450" i="1"/>
  <c r="F450" i="1" a="1"/>
  <c r="F450" i="1" s="1"/>
  <c r="A450" i="1"/>
  <c r="I449" i="1"/>
  <c r="F449" i="1" a="1"/>
  <c r="F449" i="1" s="1"/>
  <c r="A449" i="1"/>
  <c r="I448" i="1"/>
  <c r="F448" i="1" a="1"/>
  <c r="F448" i="1" s="1"/>
  <c r="A448" i="1"/>
  <c r="I447" i="1"/>
  <c r="F447" i="1" a="1"/>
  <c r="F447" i="1" s="1"/>
  <c r="A447" i="1"/>
  <c r="I446" i="1"/>
  <c r="F446" i="1" a="1"/>
  <c r="F446" i="1" s="1"/>
  <c r="A446" i="1"/>
  <c r="I445" i="1"/>
  <c r="F445" i="1" a="1"/>
  <c r="F445" i="1" s="1"/>
  <c r="A445" i="1"/>
  <c r="I444" i="1"/>
  <c r="F444" i="1" a="1"/>
  <c r="F444" i="1" s="1"/>
  <c r="A444" i="1"/>
  <c r="I443" i="1"/>
  <c r="F443" i="1" a="1"/>
  <c r="F443" i="1" s="1"/>
  <c r="A443" i="1"/>
  <c r="I442" i="1"/>
  <c r="F442" i="1" a="1"/>
  <c r="F442" i="1" s="1"/>
  <c r="A442" i="1"/>
  <c r="I441" i="1"/>
  <c r="F441" i="1" a="1"/>
  <c r="F441" i="1" s="1"/>
  <c r="A441" i="1"/>
  <c r="I440" i="1"/>
  <c r="F440" i="1" a="1"/>
  <c r="F440" i="1" s="1"/>
  <c r="A440" i="1"/>
  <c r="I439" i="1"/>
  <c r="F439" i="1" a="1"/>
  <c r="F439" i="1" s="1"/>
  <c r="A439" i="1"/>
  <c r="I438" i="1"/>
  <c r="F438" i="1" a="1"/>
  <c r="F438" i="1" s="1"/>
  <c r="A438" i="1"/>
  <c r="I437" i="1"/>
  <c r="F437" i="1" a="1"/>
  <c r="F437" i="1" s="1"/>
  <c r="A437" i="1"/>
  <c r="I436" i="1"/>
  <c r="F436" i="1" a="1"/>
  <c r="F436" i="1" s="1"/>
  <c r="A436" i="1"/>
  <c r="I435" i="1"/>
  <c r="F435" i="1" a="1"/>
  <c r="F435" i="1" s="1"/>
  <c r="A435" i="1"/>
  <c r="I434" i="1"/>
  <c r="F434" i="1" a="1"/>
  <c r="F434" i="1" s="1"/>
  <c r="A434" i="1"/>
  <c r="I433" i="1"/>
  <c r="F433" i="1" a="1"/>
  <c r="F433" i="1" s="1"/>
  <c r="A433" i="1"/>
  <c r="I432" i="1"/>
  <c r="F432" i="1" a="1"/>
  <c r="F432" i="1" s="1"/>
  <c r="A432" i="1"/>
  <c r="I431" i="1"/>
  <c r="F431" i="1" a="1"/>
  <c r="F431" i="1" s="1"/>
  <c r="A431" i="1"/>
  <c r="I430" i="1"/>
  <c r="F430" i="1" a="1"/>
  <c r="F430" i="1" s="1"/>
  <c r="A430" i="1"/>
  <c r="I429" i="1"/>
  <c r="F429" i="1" a="1"/>
  <c r="F429" i="1" s="1"/>
  <c r="A429" i="1"/>
  <c r="I428" i="1"/>
  <c r="F428" i="1" a="1"/>
  <c r="F428" i="1" s="1"/>
  <c r="A428" i="1"/>
  <c r="I427" i="1"/>
  <c r="F427" i="1" a="1"/>
  <c r="F427" i="1" s="1"/>
  <c r="A427" i="1"/>
  <c r="I426" i="1"/>
  <c r="F426" i="1" a="1"/>
  <c r="F426" i="1" s="1"/>
  <c r="A426" i="1"/>
  <c r="I425" i="1"/>
  <c r="F425" i="1" a="1"/>
  <c r="F425" i="1" s="1"/>
  <c r="A425" i="1"/>
  <c r="I424" i="1"/>
  <c r="F424" i="1" a="1"/>
  <c r="F424" i="1" s="1"/>
  <c r="A424" i="1"/>
  <c r="I423" i="1"/>
  <c r="F423" i="1" a="1"/>
  <c r="F423" i="1" s="1"/>
  <c r="A423" i="1"/>
  <c r="I422" i="1"/>
  <c r="F422" i="1" a="1"/>
  <c r="F422" i="1" s="1"/>
  <c r="A422" i="1"/>
  <c r="I421" i="1"/>
  <c r="F421" i="1" a="1"/>
  <c r="F421" i="1" s="1"/>
  <c r="A421" i="1"/>
  <c r="I420" i="1"/>
  <c r="F420" i="1" a="1"/>
  <c r="F420" i="1" s="1"/>
  <c r="A420" i="1"/>
  <c r="I419" i="1"/>
  <c r="F419" i="1" a="1"/>
  <c r="F419" i="1" s="1"/>
  <c r="A419" i="1"/>
  <c r="I418" i="1"/>
  <c r="F418" i="1" a="1"/>
  <c r="F418" i="1" s="1"/>
  <c r="A418" i="1"/>
  <c r="I417" i="1"/>
  <c r="F417" i="1" a="1"/>
  <c r="F417" i="1" s="1"/>
  <c r="A417" i="1"/>
  <c r="I416" i="1"/>
  <c r="F416" i="1" a="1"/>
  <c r="F416" i="1" s="1"/>
  <c r="A416" i="1"/>
  <c r="I415" i="1"/>
  <c r="F415" i="1" a="1"/>
  <c r="F415" i="1" s="1"/>
  <c r="A415" i="1"/>
  <c r="I414" i="1"/>
  <c r="F414" i="1" a="1"/>
  <c r="F414" i="1" s="1"/>
  <c r="A414" i="1"/>
  <c r="I413" i="1"/>
  <c r="F413" i="1" a="1"/>
  <c r="F413" i="1" s="1"/>
  <c r="A413" i="1"/>
  <c r="I412" i="1"/>
  <c r="F412" i="1" a="1"/>
  <c r="F412" i="1" s="1"/>
  <c r="A412" i="1"/>
  <c r="I411" i="1"/>
  <c r="F411" i="1" a="1"/>
  <c r="F411" i="1" s="1"/>
  <c r="A411" i="1"/>
  <c r="I410" i="1"/>
  <c r="F410" i="1" a="1"/>
  <c r="F410" i="1" s="1"/>
  <c r="A410" i="1"/>
  <c r="I409" i="1"/>
  <c r="F409" i="1" a="1"/>
  <c r="F409" i="1" s="1"/>
  <c r="A409" i="1"/>
  <c r="I408" i="1"/>
  <c r="F408" i="1" a="1"/>
  <c r="F408" i="1" s="1"/>
  <c r="A408" i="1"/>
  <c r="I407" i="1"/>
  <c r="F407" i="1" a="1"/>
  <c r="F407" i="1" s="1"/>
  <c r="A407" i="1"/>
  <c r="I406" i="1"/>
  <c r="F406" i="1" a="1"/>
  <c r="F406" i="1" s="1"/>
  <c r="A406" i="1"/>
  <c r="I405" i="1"/>
  <c r="F405" i="1" a="1"/>
  <c r="F405" i="1" s="1"/>
  <c r="A405" i="1"/>
  <c r="I404" i="1"/>
  <c r="F404" i="1" a="1"/>
  <c r="F404" i="1" s="1"/>
  <c r="A404" i="1"/>
  <c r="I403" i="1"/>
  <c r="F403" i="1" a="1"/>
  <c r="F403" i="1" s="1"/>
  <c r="A403" i="1"/>
  <c r="I402" i="1"/>
  <c r="F402" i="1" a="1"/>
  <c r="F402" i="1" s="1"/>
  <c r="A402" i="1"/>
  <c r="I401" i="1"/>
  <c r="F401" i="1" a="1"/>
  <c r="F401" i="1" s="1"/>
  <c r="A401" i="1"/>
  <c r="I400" i="1"/>
  <c r="F400" i="1" a="1"/>
  <c r="F400" i="1" s="1"/>
  <c r="A400" i="1"/>
  <c r="I399" i="1"/>
  <c r="F399" i="1" a="1"/>
  <c r="F399" i="1" s="1"/>
  <c r="A399" i="1"/>
  <c r="I398" i="1"/>
  <c r="F398" i="1" a="1"/>
  <c r="F398" i="1" s="1"/>
  <c r="A398" i="1"/>
  <c r="I397" i="1"/>
  <c r="F397" i="1" a="1"/>
  <c r="F397" i="1" s="1"/>
  <c r="A397" i="1"/>
  <c r="I396" i="1"/>
  <c r="F396" i="1" a="1"/>
  <c r="F396" i="1" s="1"/>
  <c r="A396" i="1"/>
  <c r="I395" i="1"/>
  <c r="F395" i="1" a="1"/>
  <c r="F395" i="1" s="1"/>
  <c r="A395" i="1"/>
  <c r="I394" i="1"/>
  <c r="F394" i="1" a="1"/>
  <c r="F394" i="1" s="1"/>
  <c r="A394" i="1"/>
  <c r="I393" i="1"/>
  <c r="F393" i="1" a="1"/>
  <c r="F393" i="1" s="1"/>
  <c r="A393" i="1"/>
  <c r="I392" i="1"/>
  <c r="F392" i="1" a="1"/>
  <c r="F392" i="1" s="1"/>
  <c r="A392" i="1"/>
  <c r="I391" i="1"/>
  <c r="F391" i="1" a="1"/>
  <c r="F391" i="1" s="1"/>
  <c r="A391" i="1"/>
  <c r="I390" i="1"/>
  <c r="F390" i="1" a="1"/>
  <c r="F390" i="1" s="1"/>
  <c r="A390" i="1"/>
  <c r="I389" i="1"/>
  <c r="F389" i="1" a="1"/>
  <c r="F389" i="1" s="1"/>
  <c r="A389" i="1"/>
  <c r="I388" i="1"/>
  <c r="F388" i="1" a="1"/>
  <c r="F388" i="1" s="1"/>
  <c r="A388" i="1"/>
  <c r="I387" i="1"/>
  <c r="F387" i="1" a="1"/>
  <c r="F387" i="1" s="1"/>
  <c r="A387" i="1"/>
  <c r="I386" i="1"/>
  <c r="F386" i="1" a="1"/>
  <c r="F386" i="1" s="1"/>
  <c r="A386" i="1"/>
  <c r="I385" i="1"/>
  <c r="F385" i="1" a="1"/>
  <c r="F385" i="1" s="1"/>
  <c r="A385" i="1"/>
  <c r="I384" i="1"/>
  <c r="F384" i="1" a="1"/>
  <c r="F384" i="1" s="1"/>
  <c r="A384" i="1"/>
  <c r="I383" i="1"/>
  <c r="F383" i="1" a="1"/>
  <c r="F383" i="1" s="1"/>
  <c r="A383" i="1"/>
  <c r="I382" i="1"/>
  <c r="F382" i="1" a="1"/>
  <c r="F382" i="1" s="1"/>
  <c r="A382" i="1"/>
  <c r="I381" i="1"/>
  <c r="F381" i="1" a="1"/>
  <c r="F381" i="1" s="1"/>
  <c r="A381" i="1"/>
  <c r="I380" i="1"/>
  <c r="F380" i="1" a="1"/>
  <c r="F380" i="1" s="1"/>
  <c r="A380" i="1"/>
  <c r="I379" i="1"/>
  <c r="F379" i="1" a="1"/>
  <c r="F379" i="1" s="1"/>
  <c r="A379" i="1"/>
  <c r="I378" i="1"/>
  <c r="F378" i="1" a="1"/>
  <c r="F378" i="1" s="1"/>
  <c r="A378" i="1"/>
  <c r="I377" i="1"/>
  <c r="F377" i="1" a="1"/>
  <c r="F377" i="1" s="1"/>
  <c r="A377" i="1"/>
  <c r="I376" i="1"/>
  <c r="F376" i="1" a="1"/>
  <c r="F376" i="1" s="1"/>
  <c r="A376" i="1"/>
  <c r="I375" i="1"/>
  <c r="F375" i="1" a="1"/>
  <c r="F375" i="1" s="1"/>
  <c r="A375" i="1"/>
  <c r="I374" i="1"/>
  <c r="F374" i="1" a="1"/>
  <c r="F374" i="1" s="1"/>
  <c r="A374" i="1"/>
  <c r="I373" i="1"/>
  <c r="F373" i="1" a="1"/>
  <c r="F373" i="1" s="1"/>
  <c r="A373" i="1"/>
  <c r="I372" i="1"/>
  <c r="F372" i="1" a="1"/>
  <c r="F372" i="1" s="1"/>
  <c r="A372" i="1"/>
  <c r="I371" i="1"/>
  <c r="F371" i="1" a="1"/>
  <c r="F371" i="1" s="1"/>
  <c r="A371" i="1"/>
  <c r="I370" i="1"/>
  <c r="F370" i="1" a="1"/>
  <c r="F370" i="1" s="1"/>
  <c r="A370" i="1"/>
  <c r="I369" i="1"/>
  <c r="F369" i="1" a="1"/>
  <c r="F369" i="1" s="1"/>
  <c r="A369" i="1"/>
  <c r="I368" i="1"/>
  <c r="F368" i="1" a="1"/>
  <c r="F368" i="1" s="1"/>
  <c r="A368" i="1"/>
  <c r="I367" i="1"/>
  <c r="F367" i="1" a="1"/>
  <c r="F367" i="1" s="1"/>
  <c r="A367" i="1"/>
  <c r="I366" i="1"/>
  <c r="F366" i="1" a="1"/>
  <c r="F366" i="1" s="1"/>
  <c r="A366" i="1"/>
  <c r="I365" i="1"/>
  <c r="F365" i="1" a="1"/>
  <c r="F365" i="1" s="1"/>
  <c r="A365" i="1"/>
  <c r="I364" i="1"/>
  <c r="F364" i="1" a="1"/>
  <c r="F364" i="1" s="1"/>
  <c r="A364" i="1"/>
  <c r="I363" i="1"/>
  <c r="F363" i="1" a="1"/>
  <c r="F363" i="1" s="1"/>
  <c r="A363" i="1"/>
  <c r="I362" i="1"/>
  <c r="F362" i="1" a="1"/>
  <c r="F362" i="1" s="1"/>
  <c r="A362" i="1"/>
  <c r="I361" i="1"/>
  <c r="F361" i="1" a="1"/>
  <c r="F361" i="1" s="1"/>
  <c r="A361" i="1"/>
  <c r="I360" i="1"/>
  <c r="F360" i="1" a="1"/>
  <c r="F360" i="1" s="1"/>
  <c r="A360" i="1"/>
  <c r="I359" i="1"/>
  <c r="F359" i="1" a="1"/>
  <c r="F359" i="1" s="1"/>
  <c r="A359" i="1"/>
  <c r="I358" i="1"/>
  <c r="F358" i="1" a="1"/>
  <c r="F358" i="1" s="1"/>
  <c r="A358" i="1"/>
  <c r="I357" i="1"/>
  <c r="F357" i="1" a="1"/>
  <c r="F357" i="1" s="1"/>
  <c r="A357" i="1"/>
  <c r="I356" i="1"/>
  <c r="F356" i="1" a="1"/>
  <c r="F356" i="1" s="1"/>
  <c r="A356" i="1"/>
  <c r="I355" i="1"/>
  <c r="F355" i="1" a="1"/>
  <c r="F355" i="1" s="1"/>
  <c r="A355" i="1"/>
  <c r="I354" i="1"/>
  <c r="F354" i="1" a="1"/>
  <c r="F354" i="1" s="1"/>
  <c r="A354" i="1"/>
  <c r="I353" i="1"/>
  <c r="F353" i="1" a="1"/>
  <c r="F353" i="1" s="1"/>
  <c r="A353" i="1"/>
  <c r="I352" i="1"/>
  <c r="F352" i="1" a="1"/>
  <c r="F352" i="1" s="1"/>
  <c r="A352" i="1"/>
  <c r="I351" i="1"/>
  <c r="F351" i="1" a="1"/>
  <c r="F351" i="1" s="1"/>
  <c r="A351" i="1"/>
  <c r="I350" i="1"/>
  <c r="F350" i="1" a="1"/>
  <c r="F350" i="1" s="1"/>
  <c r="A350" i="1"/>
  <c r="I349" i="1"/>
  <c r="F349" i="1" a="1"/>
  <c r="F349" i="1" s="1"/>
  <c r="A349" i="1"/>
  <c r="I348" i="1"/>
  <c r="F348" i="1" a="1"/>
  <c r="F348" i="1" s="1"/>
  <c r="A348" i="1"/>
  <c r="I347" i="1"/>
  <c r="F347" i="1" a="1"/>
  <c r="F347" i="1" s="1"/>
  <c r="A347" i="1"/>
  <c r="I346" i="1"/>
  <c r="F346" i="1" a="1"/>
  <c r="F346" i="1" s="1"/>
  <c r="A346" i="1"/>
  <c r="I345" i="1"/>
  <c r="F345" i="1" a="1"/>
  <c r="F345" i="1" s="1"/>
  <c r="A345" i="1"/>
  <c r="I344" i="1"/>
  <c r="F344" i="1" a="1"/>
  <c r="F344" i="1" s="1"/>
  <c r="A344" i="1"/>
  <c r="I343" i="1"/>
  <c r="F343" i="1" a="1"/>
  <c r="F343" i="1" s="1"/>
  <c r="A343" i="1"/>
  <c r="I342" i="1"/>
  <c r="F342" i="1" a="1"/>
  <c r="F342" i="1" s="1"/>
  <c r="A342" i="1"/>
  <c r="I341" i="1"/>
  <c r="F341" i="1" a="1"/>
  <c r="F341" i="1" s="1"/>
  <c r="A341" i="1"/>
  <c r="I340" i="1"/>
  <c r="F340" i="1" a="1"/>
  <c r="F340" i="1" s="1"/>
  <c r="A340" i="1"/>
  <c r="I339" i="1"/>
  <c r="F339" i="1" a="1"/>
  <c r="F339" i="1" s="1"/>
  <c r="A339" i="1"/>
  <c r="I338" i="1"/>
  <c r="F338" i="1" a="1"/>
  <c r="F338" i="1" s="1"/>
  <c r="A338" i="1"/>
  <c r="I337" i="1"/>
  <c r="F337" i="1" a="1"/>
  <c r="F337" i="1" s="1"/>
  <c r="A337" i="1"/>
  <c r="I336" i="1"/>
  <c r="F336" i="1" a="1"/>
  <c r="F336" i="1" s="1"/>
  <c r="A336" i="1"/>
  <c r="I335" i="1"/>
  <c r="F335" i="1" a="1"/>
  <c r="F335" i="1" s="1"/>
  <c r="A335" i="1"/>
  <c r="I334" i="1"/>
  <c r="F334" i="1" a="1"/>
  <c r="F334" i="1" s="1"/>
  <c r="A334" i="1"/>
  <c r="I333" i="1"/>
  <c r="F333" i="1" a="1"/>
  <c r="F333" i="1" s="1"/>
  <c r="A333" i="1"/>
  <c r="I332" i="1"/>
  <c r="F332" i="1" a="1"/>
  <c r="F332" i="1" s="1"/>
  <c r="A332" i="1"/>
  <c r="I331" i="1"/>
  <c r="F331" i="1" a="1"/>
  <c r="F331" i="1" s="1"/>
  <c r="A331" i="1"/>
  <c r="I330" i="1"/>
  <c r="F330" i="1" a="1"/>
  <c r="F330" i="1" s="1"/>
  <c r="A330" i="1"/>
  <c r="I329" i="1"/>
  <c r="F329" i="1" a="1"/>
  <c r="F329" i="1" s="1"/>
  <c r="A329" i="1"/>
  <c r="I328" i="1"/>
  <c r="F328" i="1" a="1"/>
  <c r="F328" i="1" s="1"/>
  <c r="A328" i="1"/>
  <c r="I327" i="1"/>
  <c r="F327" i="1" a="1"/>
  <c r="F327" i="1" s="1"/>
  <c r="A327" i="1"/>
  <c r="I326" i="1"/>
  <c r="F326" i="1" a="1"/>
  <c r="F326" i="1" s="1"/>
  <c r="A326" i="1"/>
  <c r="I325" i="1"/>
  <c r="F325" i="1" a="1"/>
  <c r="F325" i="1" s="1"/>
  <c r="A325" i="1"/>
  <c r="I324" i="1"/>
  <c r="F324" i="1" a="1"/>
  <c r="F324" i="1" s="1"/>
  <c r="A324" i="1"/>
  <c r="I323" i="1"/>
  <c r="F323" i="1" a="1"/>
  <c r="F323" i="1" s="1"/>
  <c r="A323" i="1"/>
  <c r="I322" i="1"/>
  <c r="F322" i="1" a="1"/>
  <c r="F322" i="1" s="1"/>
  <c r="A322" i="1"/>
  <c r="I321" i="1"/>
  <c r="F321" i="1" a="1"/>
  <c r="F321" i="1" s="1"/>
  <c r="A321" i="1"/>
  <c r="I320" i="1"/>
  <c r="F320" i="1" a="1"/>
  <c r="F320" i="1" s="1"/>
  <c r="A320" i="1"/>
  <c r="I319" i="1"/>
  <c r="F319" i="1" a="1"/>
  <c r="F319" i="1" s="1"/>
  <c r="A319" i="1"/>
  <c r="I318" i="1"/>
  <c r="F318" i="1" a="1"/>
  <c r="F318" i="1" s="1"/>
  <c r="A318" i="1"/>
  <c r="I317" i="1"/>
  <c r="F317" i="1" a="1"/>
  <c r="F317" i="1" s="1"/>
  <c r="A317" i="1"/>
  <c r="I316" i="1"/>
  <c r="F316" i="1" a="1"/>
  <c r="F316" i="1" s="1"/>
  <c r="A316" i="1"/>
  <c r="I315" i="1"/>
  <c r="F315" i="1" a="1"/>
  <c r="F315" i="1" s="1"/>
  <c r="A315" i="1"/>
  <c r="I314" i="1"/>
  <c r="F314" i="1" a="1"/>
  <c r="F314" i="1" s="1"/>
  <c r="A314" i="1"/>
  <c r="I313" i="1"/>
  <c r="F313" i="1" a="1"/>
  <c r="F313" i="1" s="1"/>
  <c r="A313" i="1"/>
  <c r="I312" i="1"/>
  <c r="F312" i="1" a="1"/>
  <c r="F312" i="1" s="1"/>
  <c r="A312" i="1"/>
  <c r="I311" i="1"/>
  <c r="F311" i="1" a="1"/>
  <c r="F311" i="1" s="1"/>
  <c r="A311" i="1"/>
  <c r="I310" i="1"/>
  <c r="F310" i="1" a="1"/>
  <c r="F310" i="1" s="1"/>
  <c r="A310" i="1"/>
  <c r="I309" i="1"/>
  <c r="F309" i="1" a="1"/>
  <c r="F309" i="1" s="1"/>
  <c r="A309" i="1"/>
  <c r="I308" i="1"/>
  <c r="F308" i="1" a="1"/>
  <c r="F308" i="1" s="1"/>
  <c r="A308" i="1"/>
  <c r="I307" i="1"/>
  <c r="F307" i="1" a="1"/>
  <c r="F307" i="1" s="1"/>
  <c r="A307" i="1"/>
  <c r="I306" i="1"/>
  <c r="F306" i="1" a="1"/>
  <c r="F306" i="1" s="1"/>
  <c r="A306" i="1"/>
  <c r="I305" i="1"/>
  <c r="F305" i="1" a="1"/>
  <c r="F305" i="1" s="1"/>
  <c r="A305" i="1"/>
  <c r="I304" i="1"/>
  <c r="F304" i="1" a="1"/>
  <c r="F304" i="1" s="1"/>
  <c r="A304" i="1"/>
  <c r="I303" i="1"/>
  <c r="F303" i="1" a="1"/>
  <c r="F303" i="1" s="1"/>
  <c r="A303" i="1"/>
  <c r="I302" i="1"/>
  <c r="F302" i="1" a="1"/>
  <c r="F302" i="1" s="1"/>
  <c r="A302" i="1"/>
  <c r="I301" i="1"/>
  <c r="F301" i="1" a="1"/>
  <c r="F301" i="1" s="1"/>
  <c r="A301" i="1"/>
  <c r="I300" i="1"/>
  <c r="F300" i="1" a="1"/>
  <c r="F300" i="1" s="1"/>
  <c r="A300" i="1"/>
  <c r="I299" i="1"/>
  <c r="F299" i="1" a="1"/>
  <c r="F299" i="1" s="1"/>
  <c r="A299" i="1"/>
  <c r="I298" i="1"/>
  <c r="F298" i="1" a="1"/>
  <c r="F298" i="1" s="1"/>
  <c r="A298" i="1"/>
  <c r="I297" i="1"/>
  <c r="F297" i="1" a="1"/>
  <c r="F297" i="1" s="1"/>
  <c r="A297" i="1"/>
  <c r="I296" i="1"/>
  <c r="F296" i="1" a="1"/>
  <c r="F296" i="1" s="1"/>
  <c r="A296" i="1"/>
  <c r="I295" i="1"/>
  <c r="F295" i="1" a="1"/>
  <c r="F295" i="1" s="1"/>
  <c r="A295" i="1"/>
  <c r="I294" i="1"/>
  <c r="F294" i="1" a="1"/>
  <c r="F294" i="1" s="1"/>
  <c r="A294" i="1"/>
  <c r="I293" i="1"/>
  <c r="F293" i="1" a="1"/>
  <c r="F293" i="1" s="1"/>
  <c r="A293" i="1"/>
  <c r="I292" i="1"/>
  <c r="F292" i="1" a="1"/>
  <c r="F292" i="1" s="1"/>
  <c r="A292" i="1"/>
  <c r="I291" i="1"/>
  <c r="F291" i="1" a="1"/>
  <c r="F291" i="1" s="1"/>
  <c r="A291" i="1"/>
  <c r="I290" i="1"/>
  <c r="F290" i="1" a="1"/>
  <c r="F290" i="1" s="1"/>
  <c r="A290" i="1"/>
  <c r="I289" i="1"/>
  <c r="F289" i="1" a="1"/>
  <c r="F289" i="1" s="1"/>
  <c r="A289" i="1"/>
  <c r="I288" i="1"/>
  <c r="F288" i="1" a="1"/>
  <c r="F288" i="1" s="1"/>
  <c r="A288" i="1"/>
  <c r="I287" i="1"/>
  <c r="F287" i="1" a="1"/>
  <c r="F287" i="1" s="1"/>
  <c r="A287" i="1"/>
  <c r="I286" i="1"/>
  <c r="F286" i="1" a="1"/>
  <c r="F286" i="1" s="1"/>
  <c r="A286" i="1"/>
  <c r="I285" i="1"/>
  <c r="F285" i="1" a="1"/>
  <c r="F285" i="1" s="1"/>
  <c r="A285" i="1"/>
  <c r="I284" i="1"/>
  <c r="F284" i="1" a="1"/>
  <c r="F284" i="1" s="1"/>
  <c r="A284" i="1"/>
  <c r="I283" i="1"/>
  <c r="F283" i="1" a="1"/>
  <c r="F283" i="1" s="1"/>
  <c r="A283" i="1"/>
  <c r="I282" i="1"/>
  <c r="F282" i="1" a="1"/>
  <c r="F282" i="1" s="1"/>
  <c r="A282" i="1"/>
  <c r="I281" i="1"/>
  <c r="F281" i="1" a="1"/>
  <c r="F281" i="1" s="1"/>
  <c r="A281" i="1"/>
  <c r="I280" i="1"/>
  <c r="F280" i="1" a="1"/>
  <c r="F280" i="1" s="1"/>
  <c r="A280" i="1"/>
  <c r="I279" i="1"/>
  <c r="F279" i="1" a="1"/>
  <c r="F279" i="1" s="1"/>
  <c r="A279" i="1"/>
  <c r="I278" i="1"/>
  <c r="F278" i="1" a="1"/>
  <c r="F278" i="1" s="1"/>
  <c r="A278" i="1"/>
  <c r="I277" i="1"/>
  <c r="F277" i="1" a="1"/>
  <c r="F277" i="1" s="1"/>
  <c r="A277" i="1"/>
  <c r="I276" i="1"/>
  <c r="F276" i="1" a="1"/>
  <c r="F276" i="1" s="1"/>
  <c r="A276" i="1"/>
  <c r="I275" i="1"/>
  <c r="F275" i="1" a="1"/>
  <c r="F275" i="1" s="1"/>
  <c r="A275" i="1"/>
  <c r="I274" i="1"/>
  <c r="F274" i="1" a="1"/>
  <c r="F274" i="1" s="1"/>
  <c r="A274" i="1"/>
  <c r="I273" i="1"/>
  <c r="F273" i="1" a="1"/>
  <c r="F273" i="1" s="1"/>
  <c r="A273" i="1"/>
  <c r="I272" i="1"/>
  <c r="F272" i="1" a="1"/>
  <c r="F272" i="1" s="1"/>
  <c r="A272" i="1"/>
  <c r="I271" i="1"/>
  <c r="F271" i="1" a="1"/>
  <c r="F271" i="1" s="1"/>
  <c r="A271" i="1"/>
  <c r="I270" i="1"/>
  <c r="F270" i="1" a="1"/>
  <c r="F270" i="1" s="1"/>
  <c r="A270" i="1"/>
  <c r="I269" i="1"/>
  <c r="F269" i="1" a="1"/>
  <c r="F269" i="1" s="1"/>
  <c r="A269" i="1"/>
  <c r="I268" i="1"/>
  <c r="F268" i="1" a="1"/>
  <c r="F268" i="1" s="1"/>
  <c r="A268" i="1"/>
  <c r="I267" i="1"/>
  <c r="F267" i="1" a="1"/>
  <c r="F267" i="1" s="1"/>
  <c r="A267" i="1"/>
  <c r="I266" i="1"/>
  <c r="F266" i="1" a="1"/>
  <c r="F266" i="1" s="1"/>
  <c r="A266" i="1"/>
  <c r="I265" i="1"/>
  <c r="F265" i="1" a="1"/>
  <c r="F265" i="1" s="1"/>
  <c r="A265" i="1"/>
  <c r="I264" i="1"/>
  <c r="F264" i="1" a="1"/>
  <c r="F264" i="1" s="1"/>
  <c r="A264" i="1"/>
  <c r="I263" i="1"/>
  <c r="F263" i="1" a="1"/>
  <c r="F263" i="1" s="1"/>
  <c r="A263" i="1"/>
  <c r="I262" i="1"/>
  <c r="F262" i="1" a="1"/>
  <c r="F262" i="1" s="1"/>
  <c r="A262" i="1"/>
  <c r="I261" i="1"/>
  <c r="F261" i="1" a="1"/>
  <c r="F261" i="1" s="1"/>
  <c r="A261" i="1"/>
  <c r="I260" i="1"/>
  <c r="F260" i="1" a="1"/>
  <c r="F260" i="1" s="1"/>
  <c r="A260" i="1"/>
  <c r="I259" i="1"/>
  <c r="F259" i="1" a="1"/>
  <c r="F259" i="1" s="1"/>
  <c r="A259" i="1"/>
  <c r="I258" i="1"/>
  <c r="F258" i="1" a="1"/>
  <c r="F258" i="1" s="1"/>
  <c r="A258" i="1"/>
  <c r="I257" i="1"/>
  <c r="F257" i="1" a="1"/>
  <c r="F257" i="1" s="1"/>
  <c r="A257" i="1"/>
  <c r="I256" i="1"/>
  <c r="F256" i="1" a="1"/>
  <c r="F256" i="1" s="1"/>
  <c r="A256" i="1"/>
  <c r="I255" i="1"/>
  <c r="F255" i="1" a="1"/>
  <c r="F255" i="1" s="1"/>
  <c r="A255" i="1"/>
  <c r="I254" i="1"/>
  <c r="F254" i="1" a="1"/>
  <c r="F254" i="1" s="1"/>
  <c r="A254" i="1"/>
  <c r="I253" i="1"/>
  <c r="F253" i="1" a="1"/>
  <c r="F253" i="1" s="1"/>
  <c r="A253" i="1"/>
  <c r="I252" i="1"/>
  <c r="F252" i="1" a="1"/>
  <c r="F252" i="1" s="1"/>
  <c r="A252" i="1"/>
  <c r="I251" i="1"/>
  <c r="F251" i="1" a="1"/>
  <c r="F251" i="1" s="1"/>
  <c r="A251" i="1"/>
  <c r="I250" i="1"/>
  <c r="F250" i="1" a="1"/>
  <c r="F250" i="1" s="1"/>
  <c r="A250" i="1"/>
  <c r="I249" i="1"/>
  <c r="F249" i="1" a="1"/>
  <c r="F249" i="1" s="1"/>
  <c r="A249" i="1"/>
  <c r="I248" i="1"/>
  <c r="F248" i="1" a="1"/>
  <c r="F248" i="1" s="1"/>
  <c r="A248" i="1"/>
  <c r="I247" i="1"/>
  <c r="F247" i="1" a="1"/>
  <c r="F247" i="1" s="1"/>
  <c r="A247" i="1"/>
  <c r="I246" i="1"/>
  <c r="F246" i="1" a="1"/>
  <c r="F246" i="1" s="1"/>
  <c r="A246" i="1"/>
  <c r="I245" i="1"/>
  <c r="F245" i="1" a="1"/>
  <c r="F245" i="1" s="1"/>
  <c r="A245" i="1"/>
  <c r="I244" i="1"/>
  <c r="F244" i="1" a="1"/>
  <c r="F244" i="1" s="1"/>
  <c r="A244" i="1"/>
  <c r="I243" i="1"/>
  <c r="F243" i="1" a="1"/>
  <c r="F243" i="1" s="1"/>
  <c r="A243" i="1"/>
  <c r="I242" i="1"/>
  <c r="F242" i="1" a="1"/>
  <c r="F242" i="1" s="1"/>
  <c r="A242" i="1"/>
  <c r="I241" i="1"/>
  <c r="F241" i="1" a="1"/>
  <c r="F241" i="1" s="1"/>
  <c r="A241" i="1"/>
  <c r="I240" i="1"/>
  <c r="F240" i="1" a="1"/>
  <c r="F240" i="1" s="1"/>
  <c r="A240" i="1"/>
  <c r="I239" i="1"/>
  <c r="F239" i="1" a="1"/>
  <c r="F239" i="1" s="1"/>
  <c r="A239" i="1"/>
  <c r="I238" i="1"/>
  <c r="F238" i="1" a="1"/>
  <c r="F238" i="1" s="1"/>
  <c r="A238" i="1"/>
  <c r="I237" i="1"/>
  <c r="F237" i="1" a="1"/>
  <c r="F237" i="1" s="1"/>
  <c r="A237" i="1"/>
  <c r="I236" i="1"/>
  <c r="F236" i="1" a="1"/>
  <c r="F236" i="1" s="1"/>
  <c r="A236" i="1"/>
  <c r="I235" i="1"/>
  <c r="F235" i="1" a="1"/>
  <c r="F235" i="1" s="1"/>
  <c r="A235" i="1"/>
  <c r="I234" i="1"/>
  <c r="F234" i="1" a="1"/>
  <c r="F234" i="1" s="1"/>
  <c r="A234" i="1"/>
  <c r="I233" i="1"/>
  <c r="F233" i="1" a="1"/>
  <c r="F233" i="1" s="1"/>
  <c r="A233" i="1"/>
  <c r="I232" i="1"/>
  <c r="F232" i="1" a="1"/>
  <c r="F232" i="1" s="1"/>
  <c r="A232" i="1"/>
  <c r="I231" i="1"/>
  <c r="F231" i="1" a="1"/>
  <c r="F231" i="1" s="1"/>
  <c r="A231" i="1"/>
  <c r="I230" i="1"/>
  <c r="F230" i="1" a="1"/>
  <c r="F230" i="1" s="1"/>
  <c r="A230" i="1"/>
  <c r="I229" i="1"/>
  <c r="F229" i="1" a="1"/>
  <c r="F229" i="1" s="1"/>
  <c r="A229" i="1"/>
  <c r="I228" i="1"/>
  <c r="F228" i="1" a="1"/>
  <c r="F228" i="1" s="1"/>
  <c r="A228" i="1"/>
  <c r="I227" i="1"/>
  <c r="F227" i="1" a="1"/>
  <c r="F227" i="1" s="1"/>
  <c r="A227" i="1"/>
  <c r="I226" i="1"/>
  <c r="F226" i="1" a="1"/>
  <c r="F226" i="1" s="1"/>
  <c r="A226" i="1"/>
  <c r="I225" i="1"/>
  <c r="F225" i="1" a="1"/>
  <c r="F225" i="1" s="1"/>
  <c r="A225" i="1"/>
  <c r="I224" i="1"/>
  <c r="F224" i="1" a="1"/>
  <c r="F224" i="1" s="1"/>
  <c r="A224" i="1"/>
  <c r="I223" i="1"/>
  <c r="F223" i="1" a="1"/>
  <c r="F223" i="1" s="1"/>
  <c r="A223" i="1"/>
  <c r="I222" i="1"/>
  <c r="F222" i="1" a="1"/>
  <c r="F222" i="1" s="1"/>
  <c r="A222" i="1"/>
  <c r="I221" i="1"/>
  <c r="F221" i="1" a="1"/>
  <c r="F221" i="1" s="1"/>
  <c r="A221" i="1"/>
  <c r="I220" i="1"/>
  <c r="F220" i="1" a="1"/>
  <c r="F220" i="1" s="1"/>
  <c r="A220" i="1"/>
  <c r="I219" i="1"/>
  <c r="F219" i="1" a="1"/>
  <c r="F219" i="1" s="1"/>
  <c r="A219" i="1"/>
  <c r="I218" i="1"/>
  <c r="F218" i="1" a="1"/>
  <c r="F218" i="1" s="1"/>
  <c r="A218" i="1"/>
  <c r="I217" i="1"/>
  <c r="F217" i="1" a="1"/>
  <c r="F217" i="1" s="1"/>
  <c r="A217" i="1"/>
  <c r="I216" i="1"/>
  <c r="F216" i="1" a="1"/>
  <c r="F216" i="1" s="1"/>
  <c r="A216" i="1"/>
  <c r="I215" i="1"/>
  <c r="F215" i="1" a="1"/>
  <c r="F215" i="1" s="1"/>
  <c r="A215" i="1"/>
  <c r="I214" i="1"/>
  <c r="F214" i="1" a="1"/>
  <c r="F214" i="1" s="1"/>
  <c r="A214" i="1"/>
  <c r="I213" i="1"/>
  <c r="F213" i="1" a="1"/>
  <c r="F213" i="1" s="1"/>
  <c r="A213" i="1"/>
  <c r="I212" i="1"/>
  <c r="F212" i="1" a="1"/>
  <c r="F212" i="1" s="1"/>
  <c r="A212" i="1"/>
  <c r="I211" i="1"/>
  <c r="F211" i="1" a="1"/>
  <c r="F211" i="1" s="1"/>
  <c r="A211" i="1"/>
  <c r="I210" i="1"/>
  <c r="F210" i="1" a="1"/>
  <c r="F210" i="1" s="1"/>
  <c r="A210" i="1"/>
  <c r="I209" i="1"/>
  <c r="F209" i="1" a="1"/>
  <c r="F209" i="1" s="1"/>
  <c r="A209" i="1"/>
  <c r="I208" i="1"/>
  <c r="F208" i="1" a="1"/>
  <c r="F208" i="1" s="1"/>
  <c r="A208" i="1"/>
  <c r="I207" i="1"/>
  <c r="F207" i="1" a="1"/>
  <c r="F207" i="1" s="1"/>
  <c r="A207" i="1"/>
  <c r="I206" i="1"/>
  <c r="F206" i="1" a="1"/>
  <c r="F206" i="1" s="1"/>
  <c r="A206" i="1"/>
  <c r="I205" i="1"/>
  <c r="F205" i="1" a="1"/>
  <c r="F205" i="1" s="1"/>
  <c r="A205" i="1"/>
  <c r="I204" i="1"/>
  <c r="F204" i="1" a="1"/>
  <c r="F204" i="1" s="1"/>
  <c r="A204" i="1"/>
  <c r="I203" i="1"/>
  <c r="F203" i="1" a="1"/>
  <c r="F203" i="1" s="1"/>
  <c r="A203" i="1"/>
  <c r="I202" i="1"/>
  <c r="F202" i="1" a="1"/>
  <c r="F202" i="1" s="1"/>
  <c r="A202" i="1"/>
  <c r="I201" i="1"/>
  <c r="F201" i="1" a="1"/>
  <c r="F201" i="1" s="1"/>
  <c r="A201" i="1"/>
  <c r="I200" i="1"/>
  <c r="F200" i="1" a="1"/>
  <c r="F200" i="1" s="1"/>
  <c r="A200" i="1"/>
  <c r="I199" i="1"/>
  <c r="F199" i="1" a="1"/>
  <c r="F199" i="1" s="1"/>
  <c r="A199" i="1"/>
  <c r="I198" i="1"/>
  <c r="F198" i="1" a="1"/>
  <c r="F198" i="1" s="1"/>
  <c r="A198" i="1"/>
  <c r="I197" i="1"/>
  <c r="F197" i="1" a="1"/>
  <c r="F197" i="1" s="1"/>
  <c r="A197" i="1"/>
  <c r="I196" i="1"/>
  <c r="F196" i="1" a="1"/>
  <c r="F196" i="1" s="1"/>
  <c r="A196" i="1"/>
  <c r="I195" i="1"/>
  <c r="F195" i="1" a="1"/>
  <c r="F195" i="1" s="1"/>
  <c r="A195" i="1"/>
  <c r="I194" i="1"/>
  <c r="F194" i="1" a="1"/>
  <c r="F194" i="1" s="1"/>
  <c r="A194" i="1"/>
  <c r="I193" i="1"/>
  <c r="F193" i="1" a="1"/>
  <c r="F193" i="1" s="1"/>
  <c r="A193" i="1"/>
  <c r="I192" i="1"/>
  <c r="F192" i="1" a="1"/>
  <c r="F192" i="1" s="1"/>
  <c r="A192" i="1"/>
  <c r="I191" i="1"/>
  <c r="F191" i="1" a="1"/>
  <c r="F191" i="1" s="1"/>
  <c r="A191" i="1"/>
  <c r="I190" i="1"/>
  <c r="F190" i="1" a="1"/>
  <c r="F190" i="1" s="1"/>
  <c r="A190" i="1"/>
  <c r="I189" i="1"/>
  <c r="F189" i="1" a="1"/>
  <c r="F189" i="1" s="1"/>
  <c r="A189" i="1"/>
  <c r="I188" i="1"/>
  <c r="F188" i="1" a="1"/>
  <c r="F188" i="1" s="1"/>
  <c r="A188" i="1"/>
  <c r="I187" i="1"/>
  <c r="F187" i="1" a="1"/>
  <c r="F187" i="1" s="1"/>
  <c r="A187" i="1"/>
  <c r="I186" i="1"/>
  <c r="F186" i="1" a="1"/>
  <c r="F186" i="1" s="1"/>
  <c r="A186" i="1"/>
  <c r="I185" i="1"/>
  <c r="F185" i="1" a="1"/>
  <c r="F185" i="1" s="1"/>
  <c r="A185" i="1"/>
  <c r="I184" i="1"/>
  <c r="F184" i="1" a="1"/>
  <c r="F184" i="1" s="1"/>
  <c r="A184" i="1"/>
  <c r="I183" i="1"/>
  <c r="F183" i="1" a="1"/>
  <c r="F183" i="1" s="1"/>
  <c r="A183" i="1"/>
  <c r="I182" i="1"/>
  <c r="F182" i="1" a="1"/>
  <c r="F182" i="1" s="1"/>
  <c r="A182" i="1"/>
  <c r="I181" i="1"/>
  <c r="F181" i="1" a="1"/>
  <c r="F181" i="1" s="1"/>
  <c r="A181" i="1"/>
  <c r="I180" i="1"/>
  <c r="F180" i="1" a="1"/>
  <c r="F180" i="1" s="1"/>
  <c r="A180" i="1"/>
  <c r="I179" i="1"/>
  <c r="F179" i="1" a="1"/>
  <c r="F179" i="1" s="1"/>
  <c r="A179" i="1"/>
  <c r="I178" i="1"/>
  <c r="F178" i="1" a="1"/>
  <c r="F178" i="1" s="1"/>
  <c r="A178" i="1"/>
  <c r="I177" i="1"/>
  <c r="F177" i="1" a="1"/>
  <c r="F177" i="1" s="1"/>
  <c r="A177" i="1"/>
  <c r="I176" i="1"/>
  <c r="F176" i="1" a="1"/>
  <c r="F176" i="1" s="1"/>
  <c r="A176" i="1"/>
  <c r="I175" i="1"/>
  <c r="F175" i="1" a="1"/>
  <c r="F175" i="1" s="1"/>
  <c r="A175" i="1"/>
  <c r="I174" i="1"/>
  <c r="F174" i="1" a="1"/>
  <c r="F174" i="1" s="1"/>
  <c r="A174" i="1"/>
  <c r="I173" i="1"/>
  <c r="F173" i="1" a="1"/>
  <c r="F173" i="1" s="1"/>
  <c r="A173" i="1"/>
  <c r="I172" i="1"/>
  <c r="F172" i="1" a="1"/>
  <c r="F172" i="1" s="1"/>
  <c r="A172" i="1"/>
  <c r="I171" i="1"/>
  <c r="F171" i="1" a="1"/>
  <c r="F171" i="1" s="1"/>
  <c r="A171" i="1"/>
  <c r="I170" i="1"/>
  <c r="F170" i="1" a="1"/>
  <c r="F170" i="1" s="1"/>
  <c r="A170" i="1"/>
  <c r="I169" i="1"/>
  <c r="F169" i="1" a="1"/>
  <c r="F169" i="1" s="1"/>
  <c r="A169" i="1"/>
  <c r="I168" i="1"/>
  <c r="F168" i="1" a="1"/>
  <c r="F168" i="1" s="1"/>
  <c r="A168" i="1"/>
  <c r="I167" i="1"/>
  <c r="F167" i="1" a="1"/>
  <c r="F167" i="1" s="1"/>
  <c r="A167" i="1"/>
  <c r="I166" i="1"/>
  <c r="F166" i="1" a="1"/>
  <c r="F166" i="1" s="1"/>
  <c r="A166" i="1"/>
  <c r="I165" i="1"/>
  <c r="F165" i="1" a="1"/>
  <c r="F165" i="1" s="1"/>
  <c r="A165" i="1"/>
  <c r="I164" i="1"/>
  <c r="F164" i="1" a="1"/>
  <c r="F164" i="1" s="1"/>
  <c r="A164" i="1"/>
  <c r="I163" i="1"/>
  <c r="F163" i="1" a="1"/>
  <c r="F163" i="1" s="1"/>
  <c r="A163" i="1"/>
  <c r="I162" i="1"/>
  <c r="F162" i="1" a="1"/>
  <c r="F162" i="1" s="1"/>
  <c r="A162" i="1"/>
  <c r="I161" i="1"/>
  <c r="F161" i="1" a="1"/>
  <c r="F161" i="1" s="1"/>
  <c r="A161" i="1"/>
  <c r="I160" i="1"/>
  <c r="F160" i="1" a="1"/>
  <c r="F160" i="1" s="1"/>
  <c r="A160" i="1"/>
  <c r="I159" i="1"/>
  <c r="F159" i="1" a="1"/>
  <c r="F159" i="1" s="1"/>
  <c r="A159" i="1"/>
  <c r="I158" i="1"/>
  <c r="F158" i="1" a="1"/>
  <c r="F158" i="1" s="1"/>
  <c r="A158" i="1"/>
  <c r="I157" i="1"/>
  <c r="F157" i="1" a="1"/>
  <c r="F157" i="1" s="1"/>
  <c r="A157" i="1"/>
  <c r="I156" i="1"/>
  <c r="F156" i="1" a="1"/>
  <c r="F156" i="1" s="1"/>
  <c r="A156" i="1"/>
  <c r="I155" i="1"/>
  <c r="F155" i="1" a="1"/>
  <c r="F155" i="1" s="1"/>
  <c r="A155" i="1"/>
  <c r="I154" i="1"/>
  <c r="F154" i="1" a="1"/>
  <c r="F154" i="1" s="1"/>
  <c r="A154" i="1"/>
  <c r="I153" i="1"/>
  <c r="F153" i="1" a="1"/>
  <c r="F153" i="1" s="1"/>
  <c r="A153" i="1"/>
  <c r="I152" i="1"/>
  <c r="F152" i="1" a="1"/>
  <c r="F152" i="1" s="1"/>
  <c r="A152" i="1"/>
  <c r="I151" i="1"/>
  <c r="F151" i="1" a="1"/>
  <c r="F151" i="1" s="1"/>
  <c r="A151" i="1"/>
  <c r="I150" i="1"/>
  <c r="F150" i="1" a="1"/>
  <c r="F150" i="1" s="1"/>
  <c r="A150" i="1"/>
  <c r="I149" i="1"/>
  <c r="F149" i="1" a="1"/>
  <c r="F149" i="1" s="1"/>
  <c r="A149" i="1"/>
  <c r="I148" i="1"/>
  <c r="F148" i="1" a="1"/>
  <c r="F148" i="1" s="1"/>
  <c r="A148" i="1"/>
  <c r="I147" i="1"/>
  <c r="F147" i="1" a="1"/>
  <c r="F147" i="1" s="1"/>
  <c r="A147" i="1"/>
  <c r="I146" i="1"/>
  <c r="F146" i="1" a="1"/>
  <c r="F146" i="1" s="1"/>
  <c r="A146" i="1"/>
  <c r="I145" i="1"/>
  <c r="F145" i="1" a="1"/>
  <c r="F145" i="1" s="1"/>
  <c r="A145" i="1"/>
  <c r="I144" i="1"/>
  <c r="F144" i="1" a="1"/>
  <c r="F144" i="1" s="1"/>
  <c r="A144" i="1"/>
  <c r="I143" i="1"/>
  <c r="F143" i="1" a="1"/>
  <c r="F143" i="1" s="1"/>
  <c r="A143" i="1"/>
  <c r="I142" i="1"/>
  <c r="F142" i="1" a="1"/>
  <c r="F142" i="1" s="1"/>
  <c r="A142" i="1"/>
  <c r="I141" i="1"/>
  <c r="F141" i="1" a="1"/>
  <c r="F141" i="1" s="1"/>
  <c r="A141" i="1"/>
  <c r="I140" i="1"/>
  <c r="F140" i="1" a="1"/>
  <c r="F140" i="1" s="1"/>
  <c r="A140" i="1"/>
  <c r="I139" i="1"/>
  <c r="F139" i="1" a="1"/>
  <c r="F139" i="1" s="1"/>
  <c r="A139" i="1"/>
  <c r="I138" i="1"/>
  <c r="F138" i="1" a="1"/>
  <c r="F138" i="1" s="1"/>
  <c r="A138" i="1"/>
  <c r="I137" i="1"/>
  <c r="F137" i="1" a="1"/>
  <c r="F137" i="1" s="1"/>
  <c r="A137" i="1"/>
  <c r="I136" i="1"/>
  <c r="F136" i="1" a="1"/>
  <c r="F136" i="1" s="1"/>
  <c r="A136" i="1"/>
  <c r="I135" i="1"/>
  <c r="F135" i="1" a="1"/>
  <c r="F135" i="1" s="1"/>
  <c r="A135" i="1"/>
  <c r="I134" i="1"/>
  <c r="F134" i="1" a="1"/>
  <c r="F134" i="1" s="1"/>
  <c r="A134" i="1"/>
  <c r="I133" i="1"/>
  <c r="F133" i="1" a="1"/>
  <c r="F133" i="1" s="1"/>
  <c r="A133" i="1"/>
  <c r="I132" i="1"/>
  <c r="F132" i="1" a="1"/>
  <c r="F132" i="1" s="1"/>
  <c r="A132" i="1"/>
  <c r="I131" i="1"/>
  <c r="F131" i="1" a="1"/>
  <c r="F131" i="1" s="1"/>
  <c r="A131" i="1"/>
  <c r="I130" i="1"/>
  <c r="F130" i="1" a="1"/>
  <c r="F130" i="1" s="1"/>
  <c r="A130" i="1"/>
  <c r="I129" i="1"/>
  <c r="F129" i="1" a="1"/>
  <c r="F129" i="1" s="1"/>
  <c r="A129" i="1"/>
  <c r="I128" i="1"/>
  <c r="F128" i="1" a="1"/>
  <c r="F128" i="1" s="1"/>
  <c r="A128" i="1"/>
  <c r="I127" i="1"/>
  <c r="F127" i="1" a="1"/>
  <c r="F127" i="1" s="1"/>
  <c r="A127" i="1"/>
  <c r="I126" i="1"/>
  <c r="F126" i="1" a="1"/>
  <c r="F126" i="1" s="1"/>
  <c r="A126" i="1"/>
  <c r="I125" i="1"/>
  <c r="F125" i="1" a="1"/>
  <c r="F125" i="1" s="1"/>
  <c r="A125" i="1"/>
  <c r="I124" i="1"/>
  <c r="F124" i="1" a="1"/>
  <c r="F124" i="1" s="1"/>
  <c r="A124" i="1"/>
  <c r="I123" i="1"/>
  <c r="F123" i="1" a="1"/>
  <c r="F123" i="1" s="1"/>
  <c r="A123" i="1"/>
  <c r="I122" i="1"/>
  <c r="F122" i="1" a="1"/>
  <c r="F122" i="1" s="1"/>
  <c r="A122" i="1"/>
  <c r="I121" i="1"/>
  <c r="F121" i="1" a="1"/>
  <c r="F121" i="1" s="1"/>
  <c r="A121" i="1"/>
  <c r="I120" i="1"/>
  <c r="F120" i="1" a="1"/>
  <c r="F120" i="1" s="1"/>
  <c r="A120" i="1"/>
  <c r="I119" i="1"/>
  <c r="F119" i="1" a="1"/>
  <c r="F119" i="1" s="1"/>
  <c r="A119" i="1"/>
  <c r="I118" i="1"/>
  <c r="F118" i="1" a="1"/>
  <c r="F118" i="1" s="1"/>
  <c r="A118" i="1"/>
  <c r="I117" i="1"/>
  <c r="F117" i="1" a="1"/>
  <c r="F117" i="1" s="1"/>
  <c r="A117" i="1"/>
  <c r="I116" i="1"/>
  <c r="F116" i="1" a="1"/>
  <c r="F116" i="1" s="1"/>
  <c r="A116" i="1"/>
  <c r="I115" i="1"/>
  <c r="F115" i="1" a="1"/>
  <c r="F115" i="1" s="1"/>
  <c r="A115" i="1"/>
  <c r="I114" i="1"/>
  <c r="F114" i="1" a="1"/>
  <c r="F114" i="1" s="1"/>
  <c r="A114" i="1"/>
  <c r="I113" i="1"/>
  <c r="F113" i="1" a="1"/>
  <c r="F113" i="1" s="1"/>
  <c r="A113" i="1"/>
  <c r="I112" i="1"/>
  <c r="F112" i="1" a="1"/>
  <c r="F112" i="1" s="1"/>
  <c r="A112" i="1"/>
  <c r="I111" i="1"/>
  <c r="F111" i="1" a="1"/>
  <c r="F111" i="1" s="1"/>
  <c r="A111" i="1"/>
  <c r="I110" i="1"/>
  <c r="F110" i="1" a="1"/>
  <c r="F110" i="1" s="1"/>
  <c r="A110" i="1"/>
  <c r="I109" i="1"/>
  <c r="F109" i="1" a="1"/>
  <c r="F109" i="1" s="1"/>
  <c r="A109" i="1"/>
  <c r="I108" i="1"/>
  <c r="F108" i="1" a="1"/>
  <c r="F108" i="1" s="1"/>
  <c r="A108" i="1"/>
  <c r="I107" i="1"/>
  <c r="F107" i="1" a="1"/>
  <c r="F107" i="1" s="1"/>
  <c r="A107" i="1"/>
  <c r="I106" i="1"/>
  <c r="F106" i="1" a="1"/>
  <c r="F106" i="1" s="1"/>
  <c r="A106" i="1"/>
  <c r="I105" i="1"/>
  <c r="F105" i="1" a="1"/>
  <c r="F105" i="1" s="1"/>
  <c r="A105" i="1"/>
  <c r="I104" i="1"/>
  <c r="F104" i="1" a="1"/>
  <c r="F104" i="1" s="1"/>
  <c r="A104" i="1"/>
  <c r="I103" i="1"/>
  <c r="F103" i="1" a="1"/>
  <c r="F103" i="1" s="1"/>
  <c r="A103" i="1"/>
  <c r="I102" i="1"/>
  <c r="F102" i="1" a="1"/>
  <c r="F102" i="1" s="1"/>
  <c r="A102" i="1"/>
  <c r="I101" i="1"/>
  <c r="F101" i="1" a="1"/>
  <c r="F101" i="1" s="1"/>
  <c r="A101" i="1"/>
  <c r="I100" i="1"/>
  <c r="F100" i="1" a="1"/>
  <c r="F100" i="1" s="1"/>
  <c r="A100" i="1"/>
  <c r="I99" i="1"/>
  <c r="F99" i="1" a="1"/>
  <c r="F99" i="1" s="1"/>
  <c r="A99" i="1"/>
  <c r="I98" i="1"/>
  <c r="F98" i="1" a="1"/>
  <c r="F98" i="1" s="1"/>
  <c r="A98" i="1"/>
  <c r="I97" i="1"/>
  <c r="F97" i="1" a="1"/>
  <c r="F97" i="1" s="1"/>
  <c r="A97" i="1"/>
  <c r="I96" i="1"/>
  <c r="F96" i="1" a="1"/>
  <c r="F96" i="1" s="1"/>
  <c r="A96" i="1"/>
  <c r="I95" i="1"/>
  <c r="F95" i="1" a="1"/>
  <c r="F95" i="1" s="1"/>
  <c r="A95" i="1"/>
  <c r="I94" i="1"/>
  <c r="F94" i="1" a="1"/>
  <c r="F94" i="1" s="1"/>
  <c r="A94" i="1"/>
  <c r="I93" i="1"/>
  <c r="F93" i="1" a="1"/>
  <c r="F93" i="1" s="1"/>
  <c r="A93" i="1"/>
  <c r="I92" i="1"/>
  <c r="F92" i="1" a="1"/>
  <c r="F92" i="1" s="1"/>
  <c r="A92" i="1"/>
  <c r="I91" i="1"/>
  <c r="F91" i="1" a="1"/>
  <c r="F91" i="1" s="1"/>
  <c r="A91" i="1"/>
  <c r="I90" i="1"/>
  <c r="F90" i="1" a="1"/>
  <c r="F90" i="1" s="1"/>
  <c r="A90" i="1"/>
  <c r="I89" i="1"/>
  <c r="F89" i="1" a="1"/>
  <c r="F89" i="1" s="1"/>
  <c r="A89" i="1"/>
  <c r="I88" i="1"/>
  <c r="F88" i="1" a="1"/>
  <c r="F88" i="1" s="1"/>
  <c r="A88" i="1"/>
  <c r="I87" i="1"/>
  <c r="F87" i="1" a="1"/>
  <c r="F87" i="1" s="1"/>
  <c r="A87" i="1"/>
  <c r="I86" i="1"/>
  <c r="F86" i="1" a="1"/>
  <c r="F86" i="1" s="1"/>
  <c r="A86" i="1"/>
  <c r="I85" i="1"/>
  <c r="F85" i="1" a="1"/>
  <c r="F85" i="1" s="1"/>
  <c r="A85" i="1"/>
  <c r="I84" i="1"/>
  <c r="F84" i="1" a="1"/>
  <c r="F84" i="1" s="1"/>
  <c r="A84" i="1"/>
  <c r="I83" i="1"/>
  <c r="F83" i="1" a="1"/>
  <c r="F83" i="1" s="1"/>
  <c r="A83" i="1"/>
  <c r="I82" i="1"/>
  <c r="F82" i="1" a="1"/>
  <c r="F82" i="1" s="1"/>
  <c r="A82" i="1"/>
  <c r="I81" i="1"/>
  <c r="F81" i="1" a="1"/>
  <c r="F81" i="1" s="1"/>
  <c r="A81" i="1"/>
  <c r="I80" i="1"/>
  <c r="F80" i="1" a="1"/>
  <c r="F80" i="1" s="1"/>
  <c r="A80" i="1"/>
  <c r="I79" i="1"/>
  <c r="F79" i="1" a="1"/>
  <c r="F79" i="1" s="1"/>
  <c r="A79" i="1"/>
  <c r="I78" i="1"/>
  <c r="F78" i="1" a="1"/>
  <c r="F78" i="1" s="1"/>
  <c r="A78" i="1"/>
  <c r="I77" i="1"/>
  <c r="F77" i="1" a="1"/>
  <c r="F77" i="1" s="1"/>
  <c r="A77" i="1"/>
  <c r="I76" i="1"/>
  <c r="F76" i="1" a="1"/>
  <c r="F76" i="1" s="1"/>
  <c r="A76" i="1"/>
  <c r="I75" i="1"/>
  <c r="F75" i="1" a="1"/>
  <c r="F75" i="1" s="1"/>
  <c r="A75" i="1"/>
  <c r="I74" i="1"/>
  <c r="F74" i="1" a="1"/>
  <c r="F74" i="1" s="1"/>
  <c r="A74" i="1"/>
  <c r="I73" i="1"/>
  <c r="F73" i="1" a="1"/>
  <c r="F73" i="1" s="1"/>
  <c r="A73" i="1"/>
  <c r="I72" i="1"/>
  <c r="F72" i="1" a="1"/>
  <c r="F72" i="1" s="1"/>
  <c r="A72" i="1"/>
  <c r="I71" i="1"/>
  <c r="F71" i="1" a="1"/>
  <c r="F71" i="1" s="1"/>
  <c r="A71" i="1"/>
  <c r="I70" i="1"/>
  <c r="F70" i="1" a="1"/>
  <c r="F70" i="1" s="1"/>
  <c r="A70" i="1"/>
  <c r="I69" i="1"/>
  <c r="F69" i="1" a="1"/>
  <c r="F69" i="1" s="1"/>
  <c r="A69" i="1"/>
  <c r="I68" i="1"/>
  <c r="F68" i="1" a="1"/>
  <c r="F68" i="1" s="1"/>
  <c r="A68" i="1"/>
  <c r="I67" i="1"/>
  <c r="F67" i="1" a="1"/>
  <c r="F67" i="1" s="1"/>
  <c r="A67" i="1"/>
  <c r="I66" i="1"/>
  <c r="F66" i="1" a="1"/>
  <c r="F66" i="1" s="1"/>
  <c r="A66" i="1"/>
  <c r="I65" i="1"/>
  <c r="F65" i="1" a="1"/>
  <c r="F65" i="1" s="1"/>
  <c r="A65" i="1"/>
  <c r="I64" i="1"/>
  <c r="F64" i="1" a="1"/>
  <c r="F64" i="1" s="1"/>
  <c r="A64" i="1"/>
  <c r="I63" i="1"/>
  <c r="F63" i="1" a="1"/>
  <c r="F63" i="1" s="1"/>
  <c r="A63" i="1"/>
  <c r="I62" i="1"/>
  <c r="F62" i="1" a="1"/>
  <c r="F62" i="1" s="1"/>
  <c r="A62" i="1"/>
  <c r="I61" i="1"/>
  <c r="F61" i="1" a="1"/>
  <c r="F61" i="1" s="1"/>
  <c r="A61" i="1"/>
  <c r="I60" i="1"/>
  <c r="F60" i="1" a="1"/>
  <c r="F60" i="1" s="1"/>
  <c r="A60" i="1"/>
  <c r="I59" i="1"/>
  <c r="F59" i="1" a="1"/>
  <c r="F59" i="1" s="1"/>
  <c r="A59" i="1"/>
  <c r="I58" i="1"/>
  <c r="F58" i="1" a="1"/>
  <c r="F58" i="1" s="1"/>
  <c r="A58" i="1"/>
  <c r="I57" i="1"/>
  <c r="F57" i="1" a="1"/>
  <c r="F57" i="1" s="1"/>
  <c r="A57" i="1"/>
  <c r="I56" i="1"/>
  <c r="F56" i="1" a="1"/>
  <c r="F56" i="1" s="1"/>
  <c r="A56" i="1"/>
  <c r="I55" i="1"/>
  <c r="F55" i="1" a="1"/>
  <c r="F55" i="1" s="1"/>
  <c r="A55" i="1"/>
  <c r="I54" i="1"/>
  <c r="F54" i="1" a="1"/>
  <c r="F54" i="1" s="1"/>
  <c r="A54" i="1"/>
  <c r="I53" i="1"/>
  <c r="F53" i="1" a="1"/>
  <c r="F53" i="1" s="1"/>
  <c r="A53" i="1"/>
  <c r="I52" i="1"/>
  <c r="F52" i="1" a="1"/>
  <c r="F52" i="1" s="1"/>
  <c r="A52" i="1"/>
  <c r="I51" i="1"/>
  <c r="F51" i="1" a="1"/>
  <c r="F51" i="1" s="1"/>
  <c r="A51" i="1"/>
  <c r="I50" i="1"/>
  <c r="F50" i="1" a="1"/>
  <c r="F50" i="1" s="1"/>
  <c r="A50" i="1"/>
  <c r="I49" i="1"/>
  <c r="F49" i="1" a="1"/>
  <c r="F49" i="1" s="1"/>
  <c r="A49" i="1"/>
  <c r="I48" i="1"/>
  <c r="F48" i="1" a="1"/>
  <c r="F48" i="1" s="1"/>
  <c r="A48" i="1"/>
  <c r="I47" i="1"/>
  <c r="F47" i="1" a="1"/>
  <c r="F47" i="1" s="1"/>
  <c r="A47" i="1"/>
  <c r="I46" i="1"/>
  <c r="F46" i="1" a="1"/>
  <c r="F46" i="1" s="1"/>
  <c r="A46" i="1"/>
  <c r="I45" i="1"/>
  <c r="F45" i="1" a="1"/>
  <c r="F45" i="1" s="1"/>
  <c r="A45" i="1"/>
  <c r="I44" i="1"/>
  <c r="F44" i="1" a="1"/>
  <c r="F44" i="1" s="1"/>
  <c r="A44" i="1"/>
  <c r="I43" i="1"/>
  <c r="F43" i="1" a="1"/>
  <c r="F43" i="1" s="1"/>
  <c r="A43" i="1"/>
  <c r="I42" i="1"/>
  <c r="F42" i="1" a="1"/>
  <c r="F42" i="1" s="1"/>
  <c r="A42" i="1"/>
  <c r="I41" i="1"/>
  <c r="F41" i="1" a="1"/>
  <c r="F41" i="1" s="1"/>
  <c r="A41" i="1"/>
  <c r="I40" i="1"/>
  <c r="F40" i="1" a="1"/>
  <c r="F40" i="1" s="1"/>
  <c r="A40" i="1"/>
  <c r="I39" i="1"/>
  <c r="F39" i="1" a="1"/>
  <c r="F39" i="1" s="1"/>
  <c r="A39" i="1"/>
  <c r="I38" i="1"/>
  <c r="F38" i="1" a="1"/>
  <c r="F38" i="1" s="1"/>
  <c r="A38" i="1"/>
  <c r="I37" i="1"/>
  <c r="F37" i="1" a="1"/>
  <c r="F37" i="1" s="1"/>
  <c r="A37" i="1"/>
  <c r="I36" i="1"/>
  <c r="F36" i="1" a="1"/>
  <c r="F36" i="1" s="1"/>
  <c r="A36" i="1"/>
  <c r="I35" i="1"/>
  <c r="F35" i="1" a="1"/>
  <c r="F35" i="1" s="1"/>
  <c r="A35" i="1"/>
  <c r="I34" i="1"/>
  <c r="F34" i="1" a="1"/>
  <c r="F34" i="1" s="1"/>
  <c r="A34" i="1"/>
  <c r="I33" i="1"/>
  <c r="F33" i="1" a="1"/>
  <c r="F33" i="1" s="1"/>
  <c r="A33" i="1"/>
  <c r="I32" i="1"/>
  <c r="F32" i="1" a="1"/>
  <c r="F32" i="1" s="1"/>
  <c r="A32" i="1"/>
  <c r="I31" i="1"/>
  <c r="F31" i="1" a="1"/>
  <c r="F31" i="1" s="1"/>
  <c r="A31" i="1"/>
  <c r="I30" i="1"/>
  <c r="F30" i="1" a="1"/>
  <c r="F30" i="1" s="1"/>
  <c r="A30" i="1"/>
  <c r="I29" i="1"/>
  <c r="F29" i="1" a="1"/>
  <c r="F29" i="1" s="1"/>
  <c r="A29" i="1"/>
  <c r="I28" i="1"/>
  <c r="F28" i="1" a="1"/>
  <c r="F28" i="1" s="1"/>
  <c r="A28" i="1"/>
  <c r="I27" i="1"/>
  <c r="F27" i="1" a="1"/>
  <c r="F27" i="1" s="1"/>
  <c r="A27" i="1"/>
  <c r="I26" i="1"/>
  <c r="F26" i="1" a="1"/>
  <c r="F26" i="1" s="1"/>
  <c r="A26" i="1"/>
  <c r="I25" i="1"/>
  <c r="F25" i="1" a="1"/>
  <c r="F25" i="1" s="1"/>
  <c r="A25" i="1"/>
  <c r="I24" i="1"/>
  <c r="F24" i="1" a="1"/>
  <c r="F24" i="1" s="1"/>
  <c r="A24" i="1"/>
  <c r="I23" i="1"/>
  <c r="F23" i="1" a="1"/>
  <c r="F23" i="1" s="1"/>
  <c r="A23" i="1"/>
  <c r="I22" i="1"/>
  <c r="F22" i="1" a="1"/>
  <c r="F22" i="1" s="1"/>
  <c r="A22" i="1"/>
  <c r="I21" i="1"/>
  <c r="F21" i="1" a="1"/>
  <c r="F21" i="1" s="1"/>
  <c r="A21" i="1"/>
  <c r="I20" i="1"/>
  <c r="F20" i="1" a="1"/>
  <c r="F20" i="1" s="1"/>
  <c r="A20" i="1"/>
  <c r="I19" i="1"/>
  <c r="F19" i="1" a="1"/>
  <c r="F19" i="1" s="1"/>
  <c r="A19" i="1"/>
  <c r="I18" i="1"/>
  <c r="F18" i="1" a="1"/>
  <c r="F18" i="1" s="1"/>
  <c r="A18" i="1"/>
  <c r="I17" i="1"/>
  <c r="F17" i="1" a="1"/>
  <c r="F17" i="1" s="1"/>
  <c r="A17" i="1"/>
  <c r="I16" i="1"/>
  <c r="F16" i="1" a="1"/>
  <c r="F16" i="1" s="1"/>
  <c r="A16" i="1"/>
  <c r="I15" i="1"/>
  <c r="F15" i="1" a="1"/>
  <c r="F15" i="1" s="1"/>
  <c r="A15" i="1"/>
  <c r="I14" i="1"/>
  <c r="F14" i="1" a="1"/>
  <c r="F14" i="1" s="1"/>
  <c r="A14" i="1"/>
  <c r="I13" i="1"/>
  <c r="F13" i="1" a="1"/>
  <c r="F13" i="1" s="1"/>
  <c r="A13" i="1"/>
  <c r="I12" i="1"/>
  <c r="F12" i="1" a="1"/>
  <c r="F12" i="1" s="1"/>
  <c r="A12" i="1"/>
  <c r="I11" i="1"/>
  <c r="F11" i="1" a="1"/>
  <c r="F11" i="1" s="1"/>
  <c r="A11" i="1"/>
  <c r="I10" i="1"/>
  <c r="F10" i="1" a="1"/>
  <c r="F10" i="1" s="1"/>
  <c r="A10" i="1"/>
  <c r="I9" i="1"/>
  <c r="F9" i="1" a="1"/>
  <c r="F9" i="1" s="1"/>
  <c r="A9" i="1"/>
  <c r="I8" i="1"/>
  <c r="F8" i="1" a="1"/>
  <c r="F8" i="1" s="1"/>
  <c r="A8" i="1"/>
  <c r="I7" i="1"/>
  <c r="F7" i="1" a="1"/>
  <c r="F7" i="1" s="1"/>
  <c r="A7" i="1"/>
  <c r="I6" i="1"/>
  <c r="F6" i="1" a="1"/>
  <c r="F6" i="1" s="1"/>
  <c r="A6" i="1"/>
  <c r="I5" i="1"/>
  <c r="F5" i="1" a="1"/>
  <c r="F5" i="1" s="1"/>
  <c r="A5" i="1"/>
  <c r="I4" i="1"/>
  <c r="F4" i="1" a="1"/>
  <c r="F4" i="1" s="1"/>
  <c r="A4" i="1"/>
  <c r="I3" i="1"/>
  <c r="F3" i="1" a="1"/>
  <c r="F3" i="1" s="1"/>
  <c r="A3" i="1"/>
  <c r="I2" i="1"/>
  <c r="J2" i="1" s="1"/>
  <c r="F2" i="1" a="1"/>
  <c r="F2" i="1" s="1"/>
  <c r="A2" i="1"/>
  <c r="X11" i="1" l="1"/>
  <c r="X481" i="1"/>
  <c r="X445" i="1"/>
  <c r="X397" i="1"/>
  <c r="X349" i="1"/>
  <c r="X253" i="1"/>
  <c r="X205" i="1"/>
  <c r="X133" i="1"/>
  <c r="X85" i="1"/>
  <c r="X492" i="1"/>
  <c r="X480" i="1"/>
  <c r="X432" i="1"/>
  <c r="X384" i="1"/>
  <c r="X360" i="1"/>
  <c r="X288" i="1"/>
  <c r="X204" i="1"/>
  <c r="X180" i="1"/>
  <c r="X96" i="1"/>
  <c r="X24" i="1"/>
  <c r="X419" i="1"/>
  <c r="X241" i="1"/>
  <c r="X145" i="1"/>
  <c r="X47" i="1"/>
  <c r="X455" i="1"/>
  <c r="X456" i="1"/>
  <c r="X493" i="1"/>
  <c r="X300" i="1"/>
  <c r="X107" i="1"/>
  <c r="X433" i="1"/>
  <c r="X361" i="1"/>
  <c r="X313" i="1"/>
  <c r="X277" i="1"/>
  <c r="X157" i="1"/>
  <c r="X97" i="1"/>
  <c r="X49" i="1"/>
  <c r="X25" i="1"/>
  <c r="X420" i="1"/>
  <c r="X347" i="1"/>
  <c r="X299" i="1"/>
  <c r="X250" i="1"/>
  <c r="X106" i="1"/>
  <c r="X10" i="1"/>
  <c r="X228" i="1"/>
  <c r="X298" i="1"/>
  <c r="X421" i="1"/>
  <c r="X252" i="1"/>
  <c r="X457" i="1"/>
  <c r="X409" i="1"/>
  <c r="X301" i="1"/>
  <c r="X229" i="1"/>
  <c r="X181" i="1"/>
  <c r="X121" i="1"/>
  <c r="X73" i="1"/>
  <c r="X13" i="1"/>
  <c r="X48" i="1"/>
  <c r="X444" i="1"/>
  <c r="X408" i="1"/>
  <c r="X348" i="1"/>
  <c r="X312" i="1"/>
  <c r="X276" i="1"/>
  <c r="X156" i="1"/>
  <c r="X120" i="1"/>
  <c r="X84" i="1"/>
  <c r="X491" i="1"/>
  <c r="X346" i="1"/>
  <c r="X193" i="1"/>
  <c r="X105" i="1"/>
  <c r="X479" i="1"/>
  <c r="X443" i="1"/>
  <c r="X383" i="1"/>
  <c r="X287" i="1"/>
  <c r="X203" i="1"/>
  <c r="X83" i="1"/>
  <c r="X192" i="1"/>
  <c r="X466" i="1"/>
  <c r="X431" i="1"/>
  <c r="X407" i="1"/>
  <c r="X359" i="1"/>
  <c r="X335" i="1"/>
  <c r="X251" i="1"/>
  <c r="X227" i="1"/>
  <c r="X179" i="1"/>
  <c r="X155" i="1"/>
  <c r="X95" i="1"/>
  <c r="X35" i="1"/>
  <c r="X23" i="1"/>
  <c r="X477" i="1"/>
  <c r="X418" i="1"/>
  <c r="X240" i="1"/>
  <c r="X144" i="1"/>
  <c r="X94" i="1"/>
  <c r="X46" i="1"/>
  <c r="X490" i="1"/>
  <c r="X478" i="1"/>
  <c r="X454" i="1"/>
  <c r="X430" i="1"/>
  <c r="X406" i="1"/>
  <c r="X382" i="1"/>
  <c r="X358" i="1"/>
  <c r="X334" i="1"/>
  <c r="X322" i="1"/>
  <c r="X310" i="1"/>
  <c r="X286" i="1"/>
  <c r="X262" i="1"/>
  <c r="X226" i="1"/>
  <c r="X214" i="1"/>
  <c r="X202" i="1"/>
  <c r="X154" i="1"/>
  <c r="X130" i="1"/>
  <c r="X82" i="1"/>
  <c r="X58" i="1"/>
  <c r="X34" i="1"/>
  <c r="X396" i="1"/>
  <c r="X239" i="1"/>
  <c r="X191" i="1"/>
  <c r="X143" i="1"/>
  <c r="X501" i="1"/>
  <c r="X489" i="1"/>
  <c r="X465" i="1"/>
  <c r="X453" i="1"/>
  <c r="X441" i="1"/>
  <c r="X429" i="1"/>
  <c r="X417" i="1"/>
  <c r="X405" i="1"/>
  <c r="X393" i="1"/>
  <c r="X381" i="1"/>
  <c r="X357" i="1"/>
  <c r="X345" i="1"/>
  <c r="X333" i="1"/>
  <c r="X321" i="1"/>
  <c r="X309" i="1"/>
  <c r="X297" i="1"/>
  <c r="X285" i="1"/>
  <c r="X273" i="1"/>
  <c r="X261" i="1"/>
  <c r="X249" i="1"/>
  <c r="X237" i="1"/>
  <c r="X213" i="1"/>
  <c r="X201" i="1"/>
  <c r="X177" i="1"/>
  <c r="X165" i="1"/>
  <c r="X153" i="1"/>
  <c r="X141" i="1"/>
  <c r="X129" i="1"/>
  <c r="X117" i="1"/>
  <c r="X93" i="1"/>
  <c r="X81" i="1"/>
  <c r="X69" i="1"/>
  <c r="X57" i="1"/>
  <c r="X45" i="1"/>
  <c r="X33" i="1"/>
  <c r="X9" i="1"/>
  <c r="X395" i="1"/>
  <c r="X337" i="1"/>
  <c r="X238" i="1"/>
  <c r="X190" i="1"/>
  <c r="X142" i="1"/>
  <c r="X72" i="1"/>
  <c r="X37" i="1"/>
  <c r="X488" i="1"/>
  <c r="X452" i="1"/>
  <c r="X416" i="1"/>
  <c r="X392" i="1"/>
  <c r="X356" i="1"/>
  <c r="X320" i="1"/>
  <c r="X308" i="1"/>
  <c r="X284" i="1"/>
  <c r="X260" i="1"/>
  <c r="X236" i="1"/>
  <c r="X200" i="1"/>
  <c r="X176" i="1"/>
  <c r="X140" i="1"/>
  <c r="X92" i="1"/>
  <c r="X289" i="1"/>
  <c r="X71" i="1"/>
  <c r="X499" i="1"/>
  <c r="X487" i="1"/>
  <c r="X475" i="1"/>
  <c r="X463" i="1"/>
  <c r="X451" i="1"/>
  <c r="X439" i="1"/>
  <c r="X427" i="1"/>
  <c r="X415" i="1"/>
  <c r="X403" i="1"/>
  <c r="X391" i="1"/>
  <c r="X379" i="1"/>
  <c r="X367" i="1"/>
  <c r="X355" i="1"/>
  <c r="X343" i="1"/>
  <c r="X331" i="1"/>
  <c r="X319" i="1"/>
  <c r="X307" i="1"/>
  <c r="X295" i="1"/>
  <c r="X283" i="1"/>
  <c r="X271" i="1"/>
  <c r="X259" i="1"/>
  <c r="X247" i="1"/>
  <c r="X235" i="1"/>
  <c r="X223" i="1"/>
  <c r="X211" i="1"/>
  <c r="X199" i="1"/>
  <c r="X187" i="1"/>
  <c r="X175" i="1"/>
  <c r="X163" i="1"/>
  <c r="X151" i="1"/>
  <c r="X139" i="1"/>
  <c r="X127" i="1"/>
  <c r="X115" i="1"/>
  <c r="X103" i="1"/>
  <c r="X91" i="1"/>
  <c r="X79" i="1"/>
  <c r="X67" i="1"/>
  <c r="X55" i="1"/>
  <c r="X43" i="1"/>
  <c r="X31" i="1"/>
  <c r="X19" i="1"/>
  <c r="X7" i="1"/>
  <c r="X469" i="1"/>
  <c r="X385" i="1"/>
  <c r="X275" i="1"/>
  <c r="X178" i="1"/>
  <c r="X131" i="1"/>
  <c r="X70" i="1"/>
  <c r="X22" i="1"/>
  <c r="X468" i="1"/>
  <c r="X373" i="1"/>
  <c r="X325" i="1"/>
  <c r="X274" i="1"/>
  <c r="X169" i="1"/>
  <c r="X61" i="1"/>
  <c r="X21" i="1"/>
  <c r="X500" i="1"/>
  <c r="X476" i="1"/>
  <c r="X464" i="1"/>
  <c r="X440" i="1"/>
  <c r="X428" i="1"/>
  <c r="X404" i="1"/>
  <c r="X380" i="1"/>
  <c r="X368" i="1"/>
  <c r="X332" i="1"/>
  <c r="X296" i="1"/>
  <c r="X272" i="1"/>
  <c r="X248" i="1"/>
  <c r="X224" i="1"/>
  <c r="X212" i="1"/>
  <c r="X188" i="1"/>
  <c r="X164" i="1"/>
  <c r="X152" i="1"/>
  <c r="X128" i="1"/>
  <c r="X116" i="1"/>
  <c r="X104" i="1"/>
  <c r="X80" i="1"/>
  <c r="X68" i="1"/>
  <c r="X56" i="1"/>
  <c r="X44" i="1"/>
  <c r="X32" i="1"/>
  <c r="X20" i="1"/>
  <c r="X8" i="1"/>
  <c r="X394" i="1"/>
  <c r="X336" i="1"/>
  <c r="X225" i="1"/>
  <c r="X189" i="1"/>
  <c r="X132" i="1"/>
  <c r="X36" i="1"/>
  <c r="X467" i="1"/>
  <c r="X372" i="1"/>
  <c r="X324" i="1"/>
  <c r="X265" i="1"/>
  <c r="X217" i="1"/>
  <c r="X168" i="1"/>
  <c r="X60" i="1"/>
  <c r="X496" i="1"/>
  <c r="X484" i="1"/>
  <c r="X460" i="1"/>
  <c r="X448" i="1"/>
  <c r="X424" i="1"/>
  <c r="X412" i="1"/>
  <c r="X400" i="1"/>
  <c r="X388" i="1"/>
  <c r="X376" i="1"/>
  <c r="X364" i="1"/>
  <c r="X352" i="1"/>
  <c r="X328" i="1"/>
  <c r="X316" i="1"/>
  <c r="X304" i="1"/>
  <c r="X280" i="1"/>
  <c r="X268" i="1"/>
  <c r="X256" i="1"/>
  <c r="X244" i="1"/>
  <c r="X232" i="1"/>
  <c r="X220" i="1"/>
  <c r="X208" i="1"/>
  <c r="X196" i="1"/>
  <c r="X184" i="1"/>
  <c r="X172" i="1"/>
  <c r="X160" i="1"/>
  <c r="X148" i="1"/>
  <c r="X136" i="1"/>
  <c r="X124" i="1"/>
  <c r="X112" i="1"/>
  <c r="X100" i="1"/>
  <c r="X88" i="1"/>
  <c r="X76" i="1"/>
  <c r="X64" i="1"/>
  <c r="X52" i="1"/>
  <c r="X40" i="1"/>
  <c r="X28" i="1"/>
  <c r="X16" i="1"/>
  <c r="X4" i="1"/>
  <c r="X442" i="1"/>
  <c r="X371" i="1"/>
  <c r="X323" i="1"/>
  <c r="X264" i="1"/>
  <c r="X216" i="1"/>
  <c r="X167" i="1"/>
  <c r="X119" i="1"/>
  <c r="X215" i="1"/>
  <c r="X166" i="1"/>
  <c r="X118" i="1"/>
  <c r="X12" i="1"/>
  <c r="U284" i="1"/>
  <c r="S284" i="1"/>
  <c r="S486" i="1"/>
  <c r="U486" i="1"/>
  <c r="S136" i="1"/>
  <c r="U136" i="1"/>
  <c r="V136" i="1" s="1"/>
  <c r="U256" i="1"/>
  <c r="V256" i="1" s="1"/>
  <c r="S256" i="1"/>
  <c r="R357" i="1"/>
  <c r="T357" i="1"/>
  <c r="S189" i="1"/>
  <c r="U189" i="1"/>
  <c r="T141" i="1"/>
  <c r="R141" i="1"/>
  <c r="R356" i="1"/>
  <c r="T356" i="1"/>
  <c r="T308" i="1"/>
  <c r="R308" i="1"/>
  <c r="U308" i="1" s="1"/>
  <c r="V308" i="1" s="1"/>
  <c r="R260" i="1"/>
  <c r="U260" i="1" s="1"/>
  <c r="V260" i="1" s="1"/>
  <c r="T260" i="1"/>
  <c r="V88" i="1"/>
  <c r="T499" i="1"/>
  <c r="R499" i="1"/>
  <c r="U499" i="1" s="1"/>
  <c r="U439" i="1"/>
  <c r="S439" i="1"/>
  <c r="T367" i="1"/>
  <c r="R367" i="1"/>
  <c r="R343" i="1"/>
  <c r="T343" i="1"/>
  <c r="R295" i="1"/>
  <c r="T295" i="1"/>
  <c r="V295" i="1" s="1"/>
  <c r="R259" i="1"/>
  <c r="S259" i="1" s="1"/>
  <c r="T259" i="1"/>
  <c r="T223" i="1"/>
  <c r="R223" i="1"/>
  <c r="S223" i="1" s="1"/>
  <c r="T498" i="1"/>
  <c r="R498" i="1"/>
  <c r="T462" i="1"/>
  <c r="R462" i="1"/>
  <c r="R342" i="1"/>
  <c r="T342" i="1"/>
  <c r="T306" i="1"/>
  <c r="V306" i="1" s="1"/>
  <c r="R306" i="1"/>
  <c r="T234" i="1"/>
  <c r="R234" i="1"/>
  <c r="U234" i="1" s="1"/>
  <c r="V234" i="1" s="1"/>
  <c r="T138" i="1"/>
  <c r="R138" i="1"/>
  <c r="R401" i="1"/>
  <c r="T401" i="1"/>
  <c r="T281" i="1"/>
  <c r="R281" i="1"/>
  <c r="S281" i="1" s="1"/>
  <c r="T185" i="1"/>
  <c r="R185" i="1"/>
  <c r="T41" i="1"/>
  <c r="R41" i="1"/>
  <c r="U41" i="1" s="1"/>
  <c r="R381" i="1"/>
  <c r="U381" i="1" s="1"/>
  <c r="V381" i="1" s="1"/>
  <c r="R20" i="1"/>
  <c r="S20" i="1" s="1"/>
  <c r="S377" i="1"/>
  <c r="V364" i="1"/>
  <c r="T284" i="1"/>
  <c r="T177" i="1"/>
  <c r="U447" i="1"/>
  <c r="V447" i="1" s="1"/>
  <c r="S255" i="1"/>
  <c r="U255" i="1"/>
  <c r="S483" i="1"/>
  <c r="S415" i="1"/>
  <c r="U415" i="1"/>
  <c r="V415" i="1" s="1"/>
  <c r="T105" i="1"/>
  <c r="R105" i="1"/>
  <c r="S105" i="1" s="1"/>
  <c r="R45" i="1"/>
  <c r="U45" i="1" s="1"/>
  <c r="V45" i="1" s="1"/>
  <c r="T45" i="1"/>
  <c r="R21" i="1"/>
  <c r="T21" i="1"/>
  <c r="U485" i="1"/>
  <c r="T500" i="1"/>
  <c r="R500" i="1"/>
  <c r="R272" i="1"/>
  <c r="T272" i="1"/>
  <c r="T224" i="1"/>
  <c r="V224" i="1" s="1"/>
  <c r="R224" i="1"/>
  <c r="T140" i="1"/>
  <c r="R140" i="1"/>
  <c r="V294" i="1"/>
  <c r="R139" i="1"/>
  <c r="T139" i="1"/>
  <c r="R103" i="1"/>
  <c r="U103" i="1" s="1"/>
  <c r="V103" i="1" s="1"/>
  <c r="T103" i="1"/>
  <c r="R225" i="1"/>
  <c r="V293" i="1"/>
  <c r="R450" i="1"/>
  <c r="T450" i="1"/>
  <c r="T390" i="1"/>
  <c r="R390" i="1"/>
  <c r="R258" i="1"/>
  <c r="S258" i="1" s="1"/>
  <c r="T258" i="1"/>
  <c r="S114" i="1"/>
  <c r="U114" i="1"/>
  <c r="V114" i="1" s="1"/>
  <c r="T42" i="1"/>
  <c r="R42" i="1"/>
  <c r="R81" i="1"/>
  <c r="S81" i="1" s="1"/>
  <c r="S196" i="1"/>
  <c r="V449" i="1"/>
  <c r="R305" i="1"/>
  <c r="T305" i="1"/>
  <c r="V161" i="1"/>
  <c r="R210" i="1"/>
  <c r="R80" i="1"/>
  <c r="T496" i="1"/>
  <c r="R496" i="1"/>
  <c r="U496" i="1" s="1"/>
  <c r="V496" i="1" s="1"/>
  <c r="R484" i="1"/>
  <c r="T484" i="1"/>
  <c r="T472" i="1"/>
  <c r="R472" i="1"/>
  <c r="U472" i="1" s="1"/>
  <c r="V472" i="1" s="1"/>
  <c r="T436" i="1"/>
  <c r="V436" i="1" s="1"/>
  <c r="R436" i="1"/>
  <c r="U436" i="1" s="1"/>
  <c r="R424" i="1"/>
  <c r="T424" i="1"/>
  <c r="R412" i="1"/>
  <c r="T412" i="1"/>
  <c r="R400" i="1"/>
  <c r="T400" i="1"/>
  <c r="T340" i="1"/>
  <c r="R340" i="1"/>
  <c r="R316" i="1"/>
  <c r="T316" i="1"/>
  <c r="T304" i="1"/>
  <c r="R304" i="1"/>
  <c r="T268" i="1"/>
  <c r="R268" i="1"/>
  <c r="S268" i="1" s="1"/>
  <c r="S244" i="1"/>
  <c r="U244" i="1"/>
  <c r="U232" i="1"/>
  <c r="V232" i="1" s="1"/>
  <c r="S232" i="1"/>
  <c r="T220" i="1"/>
  <c r="R220" i="1"/>
  <c r="R208" i="1"/>
  <c r="T208" i="1"/>
  <c r="T184" i="1"/>
  <c r="R184" i="1"/>
  <c r="S184" i="1" s="1"/>
  <c r="R172" i="1"/>
  <c r="S172" i="1" s="1"/>
  <c r="T172" i="1"/>
  <c r="R160" i="1"/>
  <c r="T160" i="1"/>
  <c r="R148" i="1"/>
  <c r="T148" i="1"/>
  <c r="T112" i="1"/>
  <c r="R112" i="1"/>
  <c r="U88" i="1"/>
  <c r="S88" i="1"/>
  <c r="R76" i="1"/>
  <c r="S76" i="1" s="1"/>
  <c r="T76" i="1"/>
  <c r="R64" i="1"/>
  <c r="S64" i="1" s="1"/>
  <c r="T64" i="1"/>
  <c r="R28" i="1"/>
  <c r="T28" i="1"/>
  <c r="T4" i="1"/>
  <c r="R4" i="1"/>
  <c r="R495" i="1"/>
  <c r="U495" i="1" s="1"/>
  <c r="V495" i="1" s="1"/>
  <c r="R380" i="1"/>
  <c r="R285" i="1"/>
  <c r="R209" i="1"/>
  <c r="U209" i="1" s="1"/>
  <c r="V209" i="1" s="1"/>
  <c r="R79" i="1"/>
  <c r="U79" i="1" s="1"/>
  <c r="V79" i="1" s="1"/>
  <c r="R19" i="1"/>
  <c r="S173" i="1"/>
  <c r="T439" i="1"/>
  <c r="V439" i="1" s="1"/>
  <c r="T283" i="1"/>
  <c r="V283" i="1" s="1"/>
  <c r="T176" i="1"/>
  <c r="U376" i="1"/>
  <c r="S135" i="1"/>
  <c r="U135" i="1"/>
  <c r="V135" i="1" s="1"/>
  <c r="T441" i="1"/>
  <c r="V441" i="1" s="1"/>
  <c r="R441" i="1"/>
  <c r="U441" i="1" s="1"/>
  <c r="T369" i="1"/>
  <c r="R369" i="1"/>
  <c r="U369" i="1" s="1"/>
  <c r="V369" i="1" s="1"/>
  <c r="R261" i="1"/>
  <c r="U261" i="1" s="1"/>
  <c r="V261" i="1" s="1"/>
  <c r="T261" i="1"/>
  <c r="U319" i="1"/>
  <c r="S319" i="1"/>
  <c r="T368" i="1"/>
  <c r="R368" i="1"/>
  <c r="T164" i="1"/>
  <c r="R164" i="1"/>
  <c r="S164" i="1" s="1"/>
  <c r="R451" i="1"/>
  <c r="T451" i="1"/>
  <c r="R355" i="1"/>
  <c r="T355" i="1"/>
  <c r="T307" i="1"/>
  <c r="V307" i="1" s="1"/>
  <c r="R307" i="1"/>
  <c r="U307" i="1" s="1"/>
  <c r="T67" i="1"/>
  <c r="R67" i="1"/>
  <c r="S67" i="1" s="1"/>
  <c r="R7" i="1"/>
  <c r="T7" i="1"/>
  <c r="S293" i="1"/>
  <c r="U293" i="1"/>
  <c r="R126" i="1"/>
  <c r="T126" i="1"/>
  <c r="R66" i="1"/>
  <c r="S66" i="1" s="1"/>
  <c r="T66" i="1"/>
  <c r="S378" i="1"/>
  <c r="U448" i="1"/>
  <c r="V448" i="1" s="1"/>
  <c r="T497" i="1"/>
  <c r="R497" i="1"/>
  <c r="T473" i="1"/>
  <c r="R473" i="1"/>
  <c r="R461" i="1"/>
  <c r="U461" i="1" s="1"/>
  <c r="T461" i="1"/>
  <c r="V461" i="1" s="1"/>
  <c r="T389" i="1"/>
  <c r="R389" i="1"/>
  <c r="S389" i="1" s="1"/>
  <c r="R317" i="1"/>
  <c r="T317" i="1"/>
  <c r="T269" i="1"/>
  <c r="R269" i="1"/>
  <c r="R257" i="1"/>
  <c r="T257" i="1"/>
  <c r="T233" i="1"/>
  <c r="R233" i="1"/>
  <c r="S113" i="1"/>
  <c r="U113" i="1"/>
  <c r="T65" i="1"/>
  <c r="R65" i="1"/>
  <c r="S65" i="1" s="1"/>
  <c r="R29" i="1"/>
  <c r="T29" i="1"/>
  <c r="T471" i="1"/>
  <c r="R471" i="1"/>
  <c r="S471" i="1" s="1"/>
  <c r="T435" i="1"/>
  <c r="R435" i="1"/>
  <c r="U435" i="1" s="1"/>
  <c r="T423" i="1"/>
  <c r="R423" i="1"/>
  <c r="T399" i="1"/>
  <c r="R399" i="1"/>
  <c r="T387" i="1"/>
  <c r="R387" i="1"/>
  <c r="U387" i="1" s="1"/>
  <c r="V387" i="1" s="1"/>
  <c r="T375" i="1"/>
  <c r="R375" i="1"/>
  <c r="T351" i="1"/>
  <c r="R351" i="1"/>
  <c r="U351" i="1" s="1"/>
  <c r="V351" i="1" s="1"/>
  <c r="T303" i="1"/>
  <c r="R303" i="1"/>
  <c r="T279" i="1"/>
  <c r="R279" i="1"/>
  <c r="S279" i="1" s="1"/>
  <c r="T267" i="1"/>
  <c r="R267" i="1"/>
  <c r="V255" i="1"/>
  <c r="T207" i="1"/>
  <c r="R207" i="1"/>
  <c r="U207" i="1" s="1"/>
  <c r="V207" i="1" s="1"/>
  <c r="T195" i="1"/>
  <c r="R195" i="1"/>
  <c r="T183" i="1"/>
  <c r="V183" i="1" s="1"/>
  <c r="R183" i="1"/>
  <c r="T147" i="1"/>
  <c r="R147" i="1"/>
  <c r="T111" i="1"/>
  <c r="R111" i="1"/>
  <c r="U111" i="1" s="1"/>
  <c r="T99" i="1"/>
  <c r="R99" i="1"/>
  <c r="U99" i="1" s="1"/>
  <c r="V99" i="1" s="1"/>
  <c r="T75" i="1"/>
  <c r="R75" i="1"/>
  <c r="T63" i="1"/>
  <c r="R63" i="1"/>
  <c r="S63" i="1" s="1"/>
  <c r="T39" i="1"/>
  <c r="V39" i="1" s="1"/>
  <c r="R39" i="1"/>
  <c r="S39" i="1" s="1"/>
  <c r="T27" i="1"/>
  <c r="R27" i="1"/>
  <c r="T3" i="1"/>
  <c r="R3" i="1"/>
  <c r="R379" i="1"/>
  <c r="U379" i="1" s="1"/>
  <c r="R339" i="1"/>
  <c r="R199" i="1"/>
  <c r="U199" i="1" s="1"/>
  <c r="V199" i="1" s="1"/>
  <c r="R137" i="1"/>
  <c r="R78" i="1"/>
  <c r="U78" i="1" s="1"/>
  <c r="V78" i="1" s="1"/>
  <c r="R6" i="1"/>
  <c r="S171" i="1"/>
  <c r="T438" i="1"/>
  <c r="T341" i="1"/>
  <c r="T280" i="1"/>
  <c r="T175" i="1"/>
  <c r="T44" i="1"/>
  <c r="T457" i="1"/>
  <c r="R457" i="1"/>
  <c r="S457" i="1" s="1"/>
  <c r="R350" i="1"/>
  <c r="U350" i="1" s="1"/>
  <c r="V350" i="1" s="1"/>
  <c r="T2" i="1"/>
  <c r="R2" i="1"/>
  <c r="U2" i="1" s="1"/>
  <c r="R299" i="1"/>
  <c r="S299" i="1" s="1"/>
  <c r="T299" i="1"/>
  <c r="T107" i="1"/>
  <c r="R107" i="1"/>
  <c r="R23" i="1"/>
  <c r="R421" i="1"/>
  <c r="U421" i="1" s="1"/>
  <c r="V421" i="1" s="1"/>
  <c r="R266" i="1"/>
  <c r="R182" i="1"/>
  <c r="S47" i="1"/>
  <c r="R106" i="1"/>
  <c r="S106" i="1" s="1"/>
  <c r="T334" i="1"/>
  <c r="T298" i="1"/>
  <c r="V419" i="1"/>
  <c r="U480" i="1"/>
  <c r="S480" i="1"/>
  <c r="T456" i="1"/>
  <c r="R456" i="1"/>
  <c r="T432" i="1"/>
  <c r="R432" i="1"/>
  <c r="T408" i="1"/>
  <c r="R408" i="1"/>
  <c r="R372" i="1"/>
  <c r="T372" i="1"/>
  <c r="T336" i="1"/>
  <c r="R336" i="1"/>
  <c r="R300" i="1"/>
  <c r="T300" i="1"/>
  <c r="T276" i="1"/>
  <c r="R276" i="1"/>
  <c r="R252" i="1"/>
  <c r="T252" i="1"/>
  <c r="T216" i="1"/>
  <c r="R216" i="1"/>
  <c r="T180" i="1"/>
  <c r="R180" i="1"/>
  <c r="R156" i="1"/>
  <c r="T156" i="1"/>
  <c r="T132" i="1"/>
  <c r="R132" i="1"/>
  <c r="T96" i="1"/>
  <c r="R96" i="1"/>
  <c r="U402" i="1"/>
  <c r="V402" i="1" s="1"/>
  <c r="S402" i="1"/>
  <c r="U326" i="1"/>
  <c r="S326" i="1"/>
  <c r="S266" i="1"/>
  <c r="U266" i="1"/>
  <c r="V266" i="1" s="1"/>
  <c r="S224" i="1"/>
  <c r="U224" i="1"/>
  <c r="S162" i="1"/>
  <c r="U162" i="1"/>
  <c r="S40" i="1"/>
  <c r="U40" i="1"/>
  <c r="V40" i="1" s="1"/>
  <c r="V443" i="1"/>
  <c r="U155" i="1"/>
  <c r="S155" i="1"/>
  <c r="V23" i="1"/>
  <c r="V323" i="1"/>
  <c r="U334" i="1"/>
  <c r="S334" i="1"/>
  <c r="U238" i="1"/>
  <c r="S238" i="1"/>
  <c r="S291" i="1"/>
  <c r="U291" i="1"/>
  <c r="U405" i="1"/>
  <c r="S405" i="1"/>
  <c r="S177" i="1"/>
  <c r="U177" i="1"/>
  <c r="V177" i="1" s="1"/>
  <c r="U460" i="1"/>
  <c r="V460" i="1" s="1"/>
  <c r="S460" i="1"/>
  <c r="S11" i="1"/>
  <c r="T84" i="1"/>
  <c r="U190" i="1"/>
  <c r="S128" i="1"/>
  <c r="U128" i="1"/>
  <c r="R420" i="1"/>
  <c r="U249" i="1"/>
  <c r="V249" i="1" s="1"/>
  <c r="S249" i="1"/>
  <c r="S10" i="1"/>
  <c r="U23" i="1"/>
  <c r="S23" i="1"/>
  <c r="R240" i="1"/>
  <c r="V485" i="1"/>
  <c r="V235" i="1"/>
  <c r="U500" i="1"/>
  <c r="S500" i="1"/>
  <c r="U208" i="1"/>
  <c r="S208" i="1"/>
  <c r="V2" i="1"/>
  <c r="S499" i="1"/>
  <c r="S443" i="1"/>
  <c r="U443" i="1"/>
  <c r="S166" i="1"/>
  <c r="U166" i="1"/>
  <c r="V166" i="1" s="1"/>
  <c r="S107" i="1"/>
  <c r="U107" i="1"/>
  <c r="V107" i="1" s="1"/>
  <c r="R48" i="1"/>
  <c r="S419" i="1"/>
  <c r="S351" i="1"/>
  <c r="T480" i="1"/>
  <c r="U237" i="1"/>
  <c r="V237" i="1" s="1"/>
  <c r="U67" i="1"/>
  <c r="V67" i="1" s="1"/>
  <c r="R492" i="1"/>
  <c r="T492" i="1"/>
  <c r="R444" i="1"/>
  <c r="T444" i="1"/>
  <c r="T360" i="1"/>
  <c r="R360" i="1"/>
  <c r="T288" i="1"/>
  <c r="R288" i="1"/>
  <c r="R192" i="1"/>
  <c r="T192" i="1"/>
  <c r="U144" i="1"/>
  <c r="S144" i="1"/>
  <c r="R108" i="1"/>
  <c r="T108" i="1"/>
  <c r="T72" i="1"/>
  <c r="R72" i="1"/>
  <c r="S396" i="1"/>
  <c r="V347" i="1"/>
  <c r="U251" i="1"/>
  <c r="S251" i="1"/>
  <c r="U292" i="1"/>
  <c r="V292" i="1" s="1"/>
  <c r="S292" i="1"/>
  <c r="S83" i="1"/>
  <c r="U83" i="1"/>
  <c r="U406" i="1"/>
  <c r="S406" i="1"/>
  <c r="U298" i="1"/>
  <c r="S298" i="1"/>
  <c r="V106" i="1"/>
  <c r="U127" i="1"/>
  <c r="V127" i="1" s="1"/>
  <c r="S127" i="1"/>
  <c r="S125" i="1"/>
  <c r="U125" i="1"/>
  <c r="V125" i="1" s="1"/>
  <c r="S323" i="1"/>
  <c r="U356" i="1"/>
  <c r="S356" i="1"/>
  <c r="U236" i="1"/>
  <c r="V236" i="1" s="1"/>
  <c r="S236" i="1"/>
  <c r="S176" i="1"/>
  <c r="U176" i="1"/>
  <c r="V176" i="1" s="1"/>
  <c r="U459" i="1"/>
  <c r="V459" i="1" s="1"/>
  <c r="S459" i="1"/>
  <c r="S149" i="1"/>
  <c r="U149" i="1"/>
  <c r="V149" i="1" s="1"/>
  <c r="S80" i="1"/>
  <c r="U80" i="1"/>
  <c r="V80" i="1" s="1"/>
  <c r="V358" i="1"/>
  <c r="V238" i="1"/>
  <c r="V83" i="1"/>
  <c r="S355" i="1"/>
  <c r="U355" i="1"/>
  <c r="V355" i="1" s="1"/>
  <c r="U235" i="1"/>
  <c r="S235" i="1"/>
  <c r="S7" i="1"/>
  <c r="U7" i="1"/>
  <c r="U418" i="1"/>
  <c r="V418" i="1" s="1"/>
  <c r="S418" i="1"/>
  <c r="U368" i="1"/>
  <c r="V368" i="1" s="1"/>
  <c r="S368" i="1"/>
  <c r="S306" i="1"/>
  <c r="U306" i="1"/>
  <c r="U182" i="1"/>
  <c r="V182" i="1" s="1"/>
  <c r="S182" i="1"/>
  <c r="S370" i="1"/>
  <c r="V388" i="1"/>
  <c r="T494" i="1"/>
  <c r="R494" i="1"/>
  <c r="T482" i="1"/>
  <c r="R482" i="1"/>
  <c r="T470" i="1"/>
  <c r="R470" i="1"/>
  <c r="T458" i="1"/>
  <c r="R458" i="1"/>
  <c r="T446" i="1"/>
  <c r="R446" i="1"/>
  <c r="T434" i="1"/>
  <c r="R434" i="1"/>
  <c r="T422" i="1"/>
  <c r="R422" i="1"/>
  <c r="T410" i="1"/>
  <c r="R410" i="1"/>
  <c r="T398" i="1"/>
  <c r="R398" i="1"/>
  <c r="T386" i="1"/>
  <c r="R386" i="1"/>
  <c r="T374" i="1"/>
  <c r="R374" i="1"/>
  <c r="T362" i="1"/>
  <c r="R362" i="1"/>
  <c r="T338" i="1"/>
  <c r="R338" i="1"/>
  <c r="V326" i="1"/>
  <c r="T314" i="1"/>
  <c r="R314" i="1"/>
  <c r="T302" i="1"/>
  <c r="R302" i="1"/>
  <c r="T290" i="1"/>
  <c r="R290" i="1"/>
  <c r="T278" i="1"/>
  <c r="R278" i="1"/>
  <c r="T254" i="1"/>
  <c r="R254" i="1"/>
  <c r="V242" i="1"/>
  <c r="T230" i="1"/>
  <c r="R230" i="1"/>
  <c r="T218" i="1"/>
  <c r="R218" i="1"/>
  <c r="T194" i="1"/>
  <c r="R194" i="1"/>
  <c r="T170" i="1"/>
  <c r="R170" i="1"/>
  <c r="T158" i="1"/>
  <c r="R158" i="1"/>
  <c r="T146" i="1"/>
  <c r="R146" i="1"/>
  <c r="T134" i="1"/>
  <c r="R134" i="1"/>
  <c r="T122" i="1"/>
  <c r="R122" i="1"/>
  <c r="T110" i="1"/>
  <c r="R110" i="1"/>
  <c r="T98" i="1"/>
  <c r="R98" i="1"/>
  <c r="T86" i="1"/>
  <c r="R86" i="1"/>
  <c r="T74" i="1"/>
  <c r="R74" i="1"/>
  <c r="T62" i="1"/>
  <c r="R62" i="1"/>
  <c r="T50" i="1"/>
  <c r="R50" i="1"/>
  <c r="T38" i="1"/>
  <c r="R38" i="1"/>
  <c r="T26" i="1"/>
  <c r="R26" i="1"/>
  <c r="T14" i="1"/>
  <c r="R14" i="1"/>
  <c r="U442" i="1"/>
  <c r="S442" i="1"/>
  <c r="U404" i="1"/>
  <c r="V404" i="1" s="1"/>
  <c r="S404" i="1"/>
  <c r="S328" i="1"/>
  <c r="U328" i="1"/>
  <c r="V328" i="1" s="1"/>
  <c r="U268" i="1"/>
  <c r="V268" i="1" s="1"/>
  <c r="S226" i="1"/>
  <c r="U226" i="1"/>
  <c r="V226" i="1" s="1"/>
  <c r="R206" i="1"/>
  <c r="U164" i="1"/>
  <c r="U106" i="1"/>
  <c r="S42" i="1"/>
  <c r="U42" i="1"/>
  <c r="S5" i="1"/>
  <c r="U5" i="1"/>
  <c r="V5" i="1" s="1"/>
  <c r="R468" i="1"/>
  <c r="T468" i="1"/>
  <c r="U384" i="1"/>
  <c r="S384" i="1"/>
  <c r="R348" i="1"/>
  <c r="T348" i="1"/>
  <c r="T312" i="1"/>
  <c r="R312" i="1"/>
  <c r="T228" i="1"/>
  <c r="R228" i="1"/>
  <c r="R204" i="1"/>
  <c r="T204" i="1"/>
  <c r="T168" i="1"/>
  <c r="R168" i="1"/>
  <c r="T120" i="1"/>
  <c r="R120" i="1"/>
  <c r="S84" i="1"/>
  <c r="U84" i="1"/>
  <c r="R60" i="1"/>
  <c r="T60" i="1"/>
  <c r="T36" i="1"/>
  <c r="R36" i="1"/>
  <c r="T12" i="1"/>
  <c r="R12" i="1"/>
  <c r="U227" i="1"/>
  <c r="S227" i="1"/>
  <c r="R324" i="1"/>
  <c r="R264" i="1"/>
  <c r="U64" i="1"/>
  <c r="V64" i="1" s="1"/>
  <c r="U430" i="1"/>
  <c r="S430" i="1"/>
  <c r="S82" i="1"/>
  <c r="U82" i="1"/>
  <c r="U501" i="1"/>
  <c r="S501" i="1"/>
  <c r="U69" i="1"/>
  <c r="S69" i="1"/>
  <c r="V148" i="1"/>
  <c r="S185" i="1"/>
  <c r="U185" i="1"/>
  <c r="V185" i="1" s="1"/>
  <c r="U124" i="1"/>
  <c r="S124" i="1"/>
  <c r="R24" i="1"/>
  <c r="T144" i="1"/>
  <c r="S295" i="1"/>
  <c r="U295" i="1"/>
  <c r="S369" i="1"/>
  <c r="U347" i="1"/>
  <c r="S347" i="1"/>
  <c r="U248" i="1"/>
  <c r="V248" i="1" s="1"/>
  <c r="S248" i="1"/>
  <c r="S148" i="1"/>
  <c r="U148" i="1"/>
  <c r="U123" i="1"/>
  <c r="V123" i="1" s="1"/>
  <c r="S123" i="1"/>
  <c r="T396" i="1"/>
  <c r="V396" i="1" s="1"/>
  <c r="V82" i="1"/>
  <c r="U481" i="1"/>
  <c r="V481" i="1" s="1"/>
  <c r="S481" i="1"/>
  <c r="S242" i="1"/>
  <c r="U242" i="1"/>
  <c r="U183" i="1"/>
  <c r="S183" i="1"/>
  <c r="S22" i="1"/>
  <c r="U22" i="1"/>
  <c r="V22" i="1" s="1"/>
  <c r="V356" i="1"/>
  <c r="U367" i="1"/>
  <c r="V367" i="1" s="1"/>
  <c r="S367" i="1"/>
  <c r="U142" i="1"/>
  <c r="V142" i="1" s="1"/>
  <c r="S142" i="1"/>
  <c r="S421" i="1"/>
  <c r="U475" i="1"/>
  <c r="V475" i="1" s="1"/>
  <c r="S475" i="1"/>
  <c r="S305" i="1"/>
  <c r="U305" i="1"/>
  <c r="V305" i="1" s="1"/>
  <c r="S461" i="1"/>
  <c r="S352" i="1"/>
  <c r="T384" i="1"/>
  <c r="U68" i="1"/>
  <c r="T493" i="1"/>
  <c r="R493" i="1"/>
  <c r="T469" i="1"/>
  <c r="R469" i="1"/>
  <c r="T445" i="1"/>
  <c r="R445" i="1"/>
  <c r="T433" i="1"/>
  <c r="R433" i="1"/>
  <c r="T409" i="1"/>
  <c r="R409" i="1"/>
  <c r="T397" i="1"/>
  <c r="R397" i="1"/>
  <c r="T385" i="1"/>
  <c r="R385" i="1"/>
  <c r="T373" i="1"/>
  <c r="R373" i="1"/>
  <c r="T361" i="1"/>
  <c r="R361" i="1"/>
  <c r="T349" i="1"/>
  <c r="R349" i="1"/>
  <c r="T337" i="1"/>
  <c r="R337" i="1"/>
  <c r="T325" i="1"/>
  <c r="R325" i="1"/>
  <c r="T313" i="1"/>
  <c r="R313" i="1"/>
  <c r="T301" i="1"/>
  <c r="R301" i="1"/>
  <c r="T289" i="1"/>
  <c r="R289" i="1"/>
  <c r="T277" i="1"/>
  <c r="R277" i="1"/>
  <c r="T265" i="1"/>
  <c r="R265" i="1"/>
  <c r="T253" i="1"/>
  <c r="R253" i="1"/>
  <c r="T241" i="1"/>
  <c r="R241" i="1"/>
  <c r="T229" i="1"/>
  <c r="R229" i="1"/>
  <c r="T217" i="1"/>
  <c r="R217" i="1"/>
  <c r="T205" i="1"/>
  <c r="R205" i="1"/>
  <c r="T193" i="1"/>
  <c r="R193" i="1"/>
  <c r="T181" i="1"/>
  <c r="R181" i="1"/>
  <c r="T169" i="1"/>
  <c r="R169" i="1"/>
  <c r="T157" i="1"/>
  <c r="R157" i="1"/>
  <c r="T145" i="1"/>
  <c r="R145" i="1"/>
  <c r="T133" i="1"/>
  <c r="R133" i="1"/>
  <c r="T121" i="1"/>
  <c r="R121" i="1"/>
  <c r="T109" i="1"/>
  <c r="R109" i="1"/>
  <c r="T97" i="1"/>
  <c r="R97" i="1"/>
  <c r="T85" i="1"/>
  <c r="R85" i="1"/>
  <c r="T73" i="1"/>
  <c r="R73" i="1"/>
  <c r="T61" i="1"/>
  <c r="R61" i="1"/>
  <c r="T49" i="1"/>
  <c r="R49" i="1"/>
  <c r="T37" i="1"/>
  <c r="R37" i="1"/>
  <c r="T25" i="1"/>
  <c r="R25" i="1"/>
  <c r="T13" i="1"/>
  <c r="R13" i="1"/>
  <c r="U497" i="1"/>
  <c r="V497" i="1" s="1"/>
  <c r="S497" i="1"/>
  <c r="S403" i="1"/>
  <c r="U403" i="1"/>
  <c r="V403" i="1" s="1"/>
  <c r="S327" i="1"/>
  <c r="U327" i="1"/>
  <c r="U267" i="1"/>
  <c r="V267" i="1" s="1"/>
  <c r="S267" i="1"/>
  <c r="S225" i="1"/>
  <c r="U225" i="1"/>
  <c r="V225" i="1" s="1"/>
  <c r="U163" i="1"/>
  <c r="V163" i="1" s="1"/>
  <c r="S163" i="1"/>
  <c r="V113" i="1"/>
  <c r="V21" i="1"/>
  <c r="U383" i="1"/>
  <c r="V383" i="1" s="1"/>
  <c r="U65" i="1"/>
  <c r="V65" i="1" s="1"/>
  <c r="T359" i="1"/>
  <c r="R359" i="1"/>
  <c r="T287" i="1"/>
  <c r="R287" i="1"/>
  <c r="T203" i="1"/>
  <c r="R203" i="1"/>
  <c r="T59" i="1"/>
  <c r="R59" i="1"/>
  <c r="U417" i="1"/>
  <c r="V417" i="1" s="1"/>
  <c r="S417" i="1"/>
  <c r="S366" i="1"/>
  <c r="U366" i="1"/>
  <c r="V366" i="1" s="1"/>
  <c r="S282" i="1"/>
  <c r="U282" i="1"/>
  <c r="V282" i="1" s="1"/>
  <c r="R263" i="1"/>
  <c r="S222" i="1"/>
  <c r="U222" i="1"/>
  <c r="V222" i="1" s="1"/>
  <c r="V370" i="1"/>
  <c r="R118" i="1"/>
  <c r="T118" i="1"/>
  <c r="R34" i="1"/>
  <c r="T34" i="1"/>
  <c r="S473" i="1"/>
  <c r="U473" i="1"/>
  <c r="V473" i="1" s="1"/>
  <c r="U416" i="1"/>
  <c r="V416" i="1" s="1"/>
  <c r="S416" i="1"/>
  <c r="U281" i="1"/>
  <c r="U221" i="1"/>
  <c r="S221" i="1"/>
  <c r="S496" i="1"/>
  <c r="T227" i="1"/>
  <c r="V227" i="1" s="1"/>
  <c r="U357" i="1"/>
  <c r="S357" i="1"/>
  <c r="T201" i="1"/>
  <c r="R201" i="1"/>
  <c r="U165" i="1"/>
  <c r="S165" i="1"/>
  <c r="U21" i="1"/>
  <c r="S21" i="1"/>
  <c r="U280" i="1"/>
  <c r="V280" i="1" s="1"/>
  <c r="S280" i="1"/>
  <c r="S197" i="1"/>
  <c r="U197" i="1"/>
  <c r="V197" i="1" s="1"/>
  <c r="R95" i="1"/>
  <c r="S55" i="1"/>
  <c r="U55" i="1"/>
  <c r="V55" i="1" s="1"/>
  <c r="S129" i="1"/>
  <c r="T501" i="1"/>
  <c r="T406" i="1"/>
  <c r="T130" i="1"/>
  <c r="V130" i="1" s="1"/>
  <c r="V7" i="1"/>
  <c r="V500" i="1"/>
  <c r="R476" i="1"/>
  <c r="T476" i="1"/>
  <c r="T440" i="1"/>
  <c r="R440" i="1"/>
  <c r="R332" i="1"/>
  <c r="T332" i="1"/>
  <c r="T296" i="1"/>
  <c r="R296" i="1"/>
  <c r="S260" i="1"/>
  <c r="T152" i="1"/>
  <c r="R152" i="1"/>
  <c r="U116" i="1"/>
  <c r="V116" i="1" s="1"/>
  <c r="S116" i="1"/>
  <c r="U32" i="1"/>
  <c r="S32" i="1"/>
  <c r="R488" i="1"/>
  <c r="R431" i="1"/>
  <c r="S54" i="1"/>
  <c r="U54" i="1"/>
  <c r="V54" i="1" s="1"/>
  <c r="V379" i="1"/>
  <c r="T331" i="1"/>
  <c r="R331" i="1"/>
  <c r="U175" i="1"/>
  <c r="V175" i="1" s="1"/>
  <c r="S175" i="1"/>
  <c r="U139" i="1"/>
  <c r="V139" i="1" s="1"/>
  <c r="S139" i="1"/>
  <c r="U31" i="1"/>
  <c r="S31" i="1"/>
  <c r="R297" i="1"/>
  <c r="R154" i="1"/>
  <c r="R93" i="1"/>
  <c r="R33" i="1"/>
  <c r="S449" i="1"/>
  <c r="S363" i="1"/>
  <c r="T491" i="1"/>
  <c r="V491" i="1" s="1"/>
  <c r="T464" i="1"/>
  <c r="V376" i="1"/>
  <c r="T190" i="1"/>
  <c r="T128" i="1"/>
  <c r="S414" i="1"/>
  <c r="U414" i="1"/>
  <c r="V162" i="1"/>
  <c r="U30" i="1"/>
  <c r="V30" i="1" s="1"/>
  <c r="S30" i="1"/>
  <c r="S18" i="1"/>
  <c r="U18" i="1"/>
  <c r="R429" i="1"/>
  <c r="R407" i="1"/>
  <c r="R392" i="1"/>
  <c r="S234" i="1"/>
  <c r="R212" i="1"/>
  <c r="R153" i="1"/>
  <c r="R92" i="1"/>
  <c r="R70" i="1"/>
  <c r="S52" i="1"/>
  <c r="U52" i="1"/>
  <c r="V52" i="1" s="1"/>
  <c r="R9" i="1"/>
  <c r="S491" i="1"/>
  <c r="S382" i="1"/>
  <c r="S51" i="1"/>
  <c r="T490" i="1"/>
  <c r="V490" i="1" s="1"/>
  <c r="T463" i="1"/>
  <c r="V463" i="1" s="1"/>
  <c r="T430" i="1"/>
  <c r="T251" i="1"/>
  <c r="T214" i="1"/>
  <c r="V214" i="1" s="1"/>
  <c r="T189" i="1"/>
  <c r="T155" i="1"/>
  <c r="V155" i="1" s="1"/>
  <c r="T32" i="1"/>
  <c r="V32" i="1" s="1"/>
  <c r="U318" i="1"/>
  <c r="V318" i="1" s="1"/>
  <c r="U279" i="1"/>
  <c r="V279" i="1" s="1"/>
  <c r="T215" i="1"/>
  <c r="R215" i="1"/>
  <c r="T11" i="1"/>
  <c r="V11" i="1" s="1"/>
  <c r="R478" i="1"/>
  <c r="T478" i="1"/>
  <c r="V442" i="1"/>
  <c r="T346" i="1"/>
  <c r="R346" i="1"/>
  <c r="T202" i="1"/>
  <c r="R202" i="1"/>
  <c r="T58" i="1"/>
  <c r="R58" i="1"/>
  <c r="R455" i="1"/>
  <c r="S198" i="1"/>
  <c r="U198" i="1"/>
  <c r="V198" i="1" s="1"/>
  <c r="S321" i="1"/>
  <c r="S130" i="1"/>
  <c r="T131" i="1"/>
  <c r="V131" i="1" s="1"/>
  <c r="R477" i="1"/>
  <c r="T477" i="1"/>
  <c r="U380" i="1"/>
  <c r="V380" i="1" s="1"/>
  <c r="S380" i="1"/>
  <c r="U320" i="1"/>
  <c r="V320" i="1" s="1"/>
  <c r="S320" i="1"/>
  <c r="S495" i="1"/>
  <c r="T165" i="1"/>
  <c r="T69" i="1"/>
  <c r="U178" i="1"/>
  <c r="T452" i="1"/>
  <c r="R452" i="1"/>
  <c r="T200" i="1"/>
  <c r="R200" i="1"/>
  <c r="V164" i="1"/>
  <c r="R394" i="1"/>
  <c r="R94" i="1"/>
  <c r="R35" i="1"/>
  <c r="S364" i="1"/>
  <c r="T465" i="1"/>
  <c r="V465" i="1" s="1"/>
  <c r="T405" i="1"/>
  <c r="U343" i="1"/>
  <c r="S343" i="1"/>
  <c r="T115" i="1"/>
  <c r="R115" i="1"/>
  <c r="R487" i="1"/>
  <c r="R213" i="1"/>
  <c r="U53" i="1"/>
  <c r="V53" i="1" s="1"/>
  <c r="S53" i="1"/>
  <c r="R467" i="1"/>
  <c r="R428" i="1"/>
  <c r="R391" i="1"/>
  <c r="R311" i="1"/>
  <c r="R271" i="1"/>
  <c r="R211" i="1"/>
  <c r="R151" i="1"/>
  <c r="R91" i="1"/>
  <c r="S490" i="1"/>
  <c r="S466" i="1"/>
  <c r="S381" i="1"/>
  <c r="S335" i="1"/>
  <c r="T275" i="1"/>
  <c r="V275" i="1" s="1"/>
  <c r="T188" i="1"/>
  <c r="V188" i="1" s="1"/>
  <c r="T31" i="1"/>
  <c r="U354" i="1"/>
  <c r="V354" i="1" s="1"/>
  <c r="U39" i="1"/>
  <c r="T479" i="1"/>
  <c r="R479" i="1"/>
  <c r="R371" i="1"/>
  <c r="T371" i="1"/>
  <c r="T191" i="1"/>
  <c r="R191" i="1"/>
  <c r="R143" i="1"/>
  <c r="T143" i="1"/>
  <c r="T71" i="1"/>
  <c r="R71" i="1"/>
  <c r="U474" i="1"/>
  <c r="S474" i="1"/>
  <c r="S342" i="1"/>
  <c r="U342" i="1"/>
  <c r="V342" i="1" s="1"/>
  <c r="R239" i="1"/>
  <c r="S435" i="1"/>
  <c r="S131" i="1"/>
  <c r="U358" i="1"/>
  <c r="S358" i="1"/>
  <c r="R286" i="1"/>
  <c r="T286" i="1"/>
  <c r="R262" i="1"/>
  <c r="R179" i="1"/>
  <c r="S56" i="1"/>
  <c r="U56" i="1"/>
  <c r="V319" i="1"/>
  <c r="T10" i="1"/>
  <c r="V10" i="1" s="1"/>
  <c r="T489" i="1"/>
  <c r="R489" i="1"/>
  <c r="R453" i="1"/>
  <c r="T453" i="1"/>
  <c r="T345" i="1"/>
  <c r="R345" i="1"/>
  <c r="R309" i="1"/>
  <c r="T309" i="1"/>
  <c r="T117" i="1"/>
  <c r="R117" i="1"/>
  <c r="T57" i="1"/>
  <c r="R57" i="1"/>
  <c r="R454" i="1"/>
  <c r="R395" i="1"/>
  <c r="R119" i="1"/>
  <c r="S365" i="1"/>
  <c r="T466" i="1"/>
  <c r="V466" i="1" s="1"/>
  <c r="V284" i="1"/>
  <c r="U464" i="1"/>
  <c r="S464" i="1"/>
  <c r="T344" i="1"/>
  <c r="R344" i="1"/>
  <c r="T104" i="1"/>
  <c r="R104" i="1"/>
  <c r="V56" i="1"/>
  <c r="U44" i="1"/>
  <c r="V44" i="1" s="1"/>
  <c r="S44" i="1"/>
  <c r="T8" i="1"/>
  <c r="R8" i="1"/>
  <c r="V438" i="1"/>
  <c r="V221" i="1"/>
  <c r="T129" i="1"/>
  <c r="V129" i="1" s="1"/>
  <c r="T68" i="1"/>
  <c r="V68" i="1" s="1"/>
  <c r="U427" i="1"/>
  <c r="V427" i="1" s="1"/>
  <c r="S427" i="1"/>
  <c r="T247" i="1"/>
  <c r="R247" i="1"/>
  <c r="R187" i="1"/>
  <c r="T187" i="1"/>
  <c r="S43" i="1"/>
  <c r="U43" i="1"/>
  <c r="V43" i="1" s="1"/>
  <c r="R393" i="1"/>
  <c r="S214" i="1"/>
  <c r="V341" i="1"/>
  <c r="U101" i="1"/>
  <c r="S101" i="1"/>
  <c r="V77" i="1"/>
  <c r="V352" i="1"/>
  <c r="V124" i="1"/>
  <c r="R333" i="1"/>
  <c r="R310" i="1"/>
  <c r="R250" i="1"/>
  <c r="R167" i="1"/>
  <c r="S150" i="1"/>
  <c r="U150" i="1"/>
  <c r="V150" i="1" s="1"/>
  <c r="S465" i="1"/>
  <c r="S353" i="1"/>
  <c r="S111" i="1"/>
  <c r="S77" i="1"/>
  <c r="V486" i="1"/>
  <c r="T335" i="1"/>
  <c r="V335" i="1" s="1"/>
  <c r="T274" i="1"/>
  <c r="V274" i="1" s="1"/>
  <c r="T178" i="1"/>
  <c r="S388" i="1"/>
  <c r="V437" i="1"/>
  <c r="T18" i="1"/>
  <c r="V377" i="1"/>
  <c r="V281" i="1"/>
  <c r="R426" i="1"/>
  <c r="R413" i="1"/>
  <c r="R246" i="1"/>
  <c r="R174" i="1"/>
  <c r="R89" i="1"/>
  <c r="R17" i="1"/>
  <c r="T101" i="1"/>
  <c r="V474" i="1"/>
  <c r="T270" i="1"/>
  <c r="R270" i="1"/>
  <c r="V42" i="1"/>
  <c r="R425" i="1"/>
  <c r="R330" i="1"/>
  <c r="R245" i="1"/>
  <c r="R102" i="1"/>
  <c r="R16" i="1"/>
  <c r="T414" i="1"/>
  <c r="T100" i="1"/>
  <c r="U100" i="1"/>
  <c r="S126" i="1"/>
  <c r="U126" i="1"/>
  <c r="V126" i="1" s="1"/>
  <c r="R90" i="1"/>
  <c r="V483" i="1"/>
  <c r="V435" i="1"/>
  <c r="V327" i="1"/>
  <c r="V291" i="1"/>
  <c r="T231" i="1"/>
  <c r="R231" i="1"/>
  <c r="V219" i="1"/>
  <c r="V159" i="1"/>
  <c r="V111" i="1"/>
  <c r="T87" i="1"/>
  <c r="R87" i="1"/>
  <c r="R411" i="1"/>
  <c r="R329" i="1"/>
  <c r="R315" i="1"/>
  <c r="R243" i="1"/>
  <c r="R186" i="1"/>
  <c r="R15" i="1"/>
  <c r="T244" i="1"/>
  <c r="V244" i="1" s="1"/>
  <c r="J3" i="1"/>
  <c r="K2" i="1"/>
  <c r="Q2" i="1" s="1"/>
  <c r="V499" i="1" l="1"/>
  <c r="V375" i="1"/>
  <c r="V140" i="1"/>
  <c r="V195" i="1"/>
  <c r="V484" i="1"/>
  <c r="V340" i="1"/>
  <c r="V41" i="1"/>
  <c r="U424" i="1"/>
  <c r="V424" i="1" s="1"/>
  <c r="S424" i="1"/>
  <c r="U390" i="1"/>
  <c r="S390" i="1"/>
  <c r="V29" i="1"/>
  <c r="V390" i="1"/>
  <c r="V208" i="1"/>
  <c r="V75" i="1"/>
  <c r="V451" i="1"/>
  <c r="U285" i="1"/>
  <c r="V285" i="1" s="1"/>
  <c r="S285" i="1"/>
  <c r="U450" i="1"/>
  <c r="S450" i="1"/>
  <c r="U172" i="1"/>
  <c r="V172" i="1" s="1"/>
  <c r="U451" i="1"/>
  <c r="S451" i="1"/>
  <c r="U220" i="1"/>
  <c r="V220" i="1" s="1"/>
  <c r="S220" i="1"/>
  <c r="U272" i="1"/>
  <c r="V272" i="1" s="1"/>
  <c r="S272" i="1"/>
  <c r="S472" i="1"/>
  <c r="S45" i="1"/>
  <c r="U184" i="1"/>
  <c r="V184" i="1" s="1"/>
  <c r="S340" i="1"/>
  <c r="U340" i="1"/>
  <c r="S462" i="1"/>
  <c r="U462" i="1"/>
  <c r="V31" i="1"/>
  <c r="S339" i="1"/>
  <c r="U339" i="1"/>
  <c r="V339" i="1" s="1"/>
  <c r="U105" i="1"/>
  <c r="V105" i="1" s="1"/>
  <c r="S441" i="1"/>
  <c r="U389" i="1"/>
  <c r="V389" i="1" s="1"/>
  <c r="U81" i="1"/>
  <c r="V81" i="1" s="1"/>
  <c r="S99" i="1"/>
  <c r="U27" i="1"/>
  <c r="V27" i="1" s="1"/>
  <c r="S27" i="1"/>
  <c r="U147" i="1"/>
  <c r="V147" i="1" s="1"/>
  <c r="S147" i="1"/>
  <c r="S400" i="1"/>
  <c r="U400" i="1"/>
  <c r="V400" i="1" s="1"/>
  <c r="V462" i="1"/>
  <c r="U269" i="1"/>
  <c r="V269" i="1" s="1"/>
  <c r="S269" i="1"/>
  <c r="S140" i="1"/>
  <c r="U140" i="1"/>
  <c r="S138" i="1"/>
  <c r="U138" i="1"/>
  <c r="V138" i="1" s="1"/>
  <c r="U195" i="1"/>
  <c r="S195" i="1"/>
  <c r="U223" i="1"/>
  <c r="V223" i="1" s="1"/>
  <c r="U304" i="1"/>
  <c r="V304" i="1" s="1"/>
  <c r="S304" i="1"/>
  <c r="V298" i="1"/>
  <c r="S137" i="1"/>
  <c r="U137" i="1"/>
  <c r="V137" i="1" s="1"/>
  <c r="U75" i="1"/>
  <c r="S75" i="1"/>
  <c r="U29" i="1"/>
  <c r="S29" i="1"/>
  <c r="U317" i="1"/>
  <c r="V317" i="1" s="1"/>
  <c r="S317" i="1"/>
  <c r="V450" i="1"/>
  <c r="U316" i="1"/>
  <c r="V316" i="1" s="1"/>
  <c r="S316" i="1"/>
  <c r="V18" i="1"/>
  <c r="V189" i="1"/>
  <c r="V464" i="1"/>
  <c r="U20" i="1"/>
  <c r="V20" i="1" s="1"/>
  <c r="S399" i="1"/>
  <c r="U399" i="1"/>
  <c r="U299" i="1"/>
  <c r="V299" i="1" s="1"/>
  <c r="S4" i="1"/>
  <c r="U4" i="1"/>
  <c r="V4" i="1" s="1"/>
  <c r="S379" i="1"/>
  <c r="S78" i="1"/>
  <c r="S79" i="1"/>
  <c r="S41" i="1"/>
  <c r="S436" i="1"/>
  <c r="U457" i="1"/>
  <c r="V457" i="1" s="1"/>
  <c r="S103" i="1"/>
  <c r="U63" i="1"/>
  <c r="V63" i="1" s="1"/>
  <c r="S261" i="1"/>
  <c r="U258" i="1"/>
  <c r="V258" i="1" s="1"/>
  <c r="U76" i="1"/>
  <c r="V76" i="1" s="1"/>
  <c r="V69" i="1"/>
  <c r="U259" i="1"/>
  <c r="V259" i="1" s="1"/>
  <c r="S307" i="1"/>
  <c r="S209" i="1"/>
  <c r="S308" i="1"/>
  <c r="V334" i="1"/>
  <c r="U303" i="1"/>
  <c r="V303" i="1" s="1"/>
  <c r="S303" i="1"/>
  <c r="U28" i="1"/>
  <c r="V28" i="1" s="1"/>
  <c r="S28" i="1"/>
  <c r="U160" i="1"/>
  <c r="V160" i="1" s="1"/>
  <c r="S160" i="1"/>
  <c r="U498" i="1"/>
  <c r="V498" i="1" s="1"/>
  <c r="S498" i="1"/>
  <c r="U141" i="1"/>
  <c r="V141" i="1" s="1"/>
  <c r="S141" i="1"/>
  <c r="S6" i="1"/>
  <c r="U6" i="1"/>
  <c r="V6" i="1" s="1"/>
  <c r="S19" i="1"/>
  <c r="U19" i="1"/>
  <c r="V19" i="1" s="1"/>
  <c r="U375" i="1"/>
  <c r="S375" i="1"/>
  <c r="V357" i="1"/>
  <c r="S112" i="1"/>
  <c r="U112" i="1"/>
  <c r="S387" i="1"/>
  <c r="V406" i="1"/>
  <c r="U66" i="1"/>
  <c r="V66" i="1" s="1"/>
  <c r="V112" i="1"/>
  <c r="V343" i="1"/>
  <c r="S207" i="1"/>
  <c r="U3" i="1"/>
  <c r="V3" i="1" s="1"/>
  <c r="S3" i="1"/>
  <c r="V399" i="1"/>
  <c r="S484" i="1"/>
  <c r="U484" i="1"/>
  <c r="S423" i="1"/>
  <c r="U423" i="1"/>
  <c r="V423" i="1" s="1"/>
  <c r="U233" i="1"/>
  <c r="V233" i="1" s="1"/>
  <c r="S233" i="1"/>
  <c r="U471" i="1"/>
  <c r="V471" i="1" s="1"/>
  <c r="S199" i="1"/>
  <c r="V165" i="1"/>
  <c r="S350" i="1"/>
  <c r="S2" i="1"/>
  <c r="U257" i="1"/>
  <c r="V257" i="1" s="1"/>
  <c r="S257" i="1"/>
  <c r="U412" i="1"/>
  <c r="V412" i="1" s="1"/>
  <c r="S412" i="1"/>
  <c r="S210" i="1"/>
  <c r="U210" i="1"/>
  <c r="V210" i="1" s="1"/>
  <c r="S401" i="1"/>
  <c r="U401" i="1"/>
  <c r="V401" i="1" s="1"/>
  <c r="U346" i="1"/>
  <c r="V346" i="1" s="1"/>
  <c r="S346" i="1"/>
  <c r="U482" i="1"/>
  <c r="S482" i="1"/>
  <c r="U492" i="1"/>
  <c r="V492" i="1" s="1"/>
  <c r="S492" i="1"/>
  <c r="U36" i="1"/>
  <c r="V36" i="1" s="1"/>
  <c r="S36" i="1"/>
  <c r="S158" i="1"/>
  <c r="U158" i="1"/>
  <c r="V158" i="1" s="1"/>
  <c r="V410" i="1"/>
  <c r="U89" i="1"/>
  <c r="V89" i="1" s="1"/>
  <c r="S89" i="1"/>
  <c r="U104" i="1"/>
  <c r="S104" i="1"/>
  <c r="V338" i="1"/>
  <c r="V104" i="1"/>
  <c r="U454" i="1"/>
  <c r="V454" i="1" s="1"/>
  <c r="S454" i="1"/>
  <c r="V289" i="1"/>
  <c r="U98" i="1"/>
  <c r="V98" i="1" s="1"/>
  <c r="S98" i="1"/>
  <c r="V216" i="1"/>
  <c r="S487" i="1"/>
  <c r="U487" i="1"/>
  <c r="V487" i="1" s="1"/>
  <c r="U13" i="1"/>
  <c r="S13" i="1"/>
  <c r="U229" i="1"/>
  <c r="S229" i="1"/>
  <c r="U373" i="1"/>
  <c r="V373" i="1" s="1"/>
  <c r="S373" i="1"/>
  <c r="S192" i="1"/>
  <c r="U192" i="1"/>
  <c r="V192" i="1" s="1"/>
  <c r="S432" i="1"/>
  <c r="U432" i="1"/>
  <c r="S413" i="1"/>
  <c r="U413" i="1"/>
  <c r="V413" i="1" s="1"/>
  <c r="S91" i="1"/>
  <c r="U91" i="1"/>
  <c r="V91" i="1" s="1"/>
  <c r="V13" i="1"/>
  <c r="V301" i="1"/>
  <c r="V432" i="1"/>
  <c r="U25" i="1"/>
  <c r="V25" i="1" s="1"/>
  <c r="S25" i="1"/>
  <c r="U169" i="1"/>
  <c r="V169" i="1" s="1"/>
  <c r="S169" i="1"/>
  <c r="S313" i="1"/>
  <c r="U313" i="1"/>
  <c r="U469" i="1"/>
  <c r="V469" i="1" s="1"/>
  <c r="S469" i="1"/>
  <c r="U456" i="1"/>
  <c r="V456" i="1" s="1"/>
  <c r="S456" i="1"/>
  <c r="U211" i="1"/>
  <c r="V211" i="1" s="1"/>
  <c r="S211" i="1"/>
  <c r="U153" i="1"/>
  <c r="V153" i="1" s="1"/>
  <c r="S153" i="1"/>
  <c r="U191" i="1"/>
  <c r="V191" i="1" s="1"/>
  <c r="S191" i="1"/>
  <c r="S271" i="1"/>
  <c r="U271" i="1"/>
  <c r="V271" i="1" s="1"/>
  <c r="S202" i="1"/>
  <c r="U202" i="1"/>
  <c r="V202" i="1" s="1"/>
  <c r="V430" i="1"/>
  <c r="S212" i="1"/>
  <c r="U212" i="1"/>
  <c r="V212" i="1" s="1"/>
  <c r="S119" i="1"/>
  <c r="U119" i="1"/>
  <c r="V119" i="1" s="1"/>
  <c r="U86" i="1"/>
  <c r="V86" i="1" s="1"/>
  <c r="S86" i="1"/>
  <c r="S338" i="1"/>
  <c r="U338" i="1"/>
  <c r="S494" i="1"/>
  <c r="U494" i="1"/>
  <c r="V494" i="1" s="1"/>
  <c r="S174" i="1"/>
  <c r="U174" i="1"/>
  <c r="V174" i="1" s="1"/>
  <c r="U35" i="1"/>
  <c r="V35" i="1" s="1"/>
  <c r="S35" i="1"/>
  <c r="U445" i="1"/>
  <c r="V445" i="1" s="1"/>
  <c r="S445" i="1"/>
  <c r="V60" i="1"/>
  <c r="S425" i="1"/>
  <c r="U425" i="1"/>
  <c r="V425" i="1" s="1"/>
  <c r="U94" i="1"/>
  <c r="V94" i="1" s="1"/>
  <c r="S94" i="1"/>
  <c r="U157" i="1"/>
  <c r="V157" i="1" s="1"/>
  <c r="S157" i="1"/>
  <c r="U60" i="1"/>
  <c r="S60" i="1"/>
  <c r="V26" i="1"/>
  <c r="V229" i="1"/>
  <c r="U143" i="1"/>
  <c r="V143" i="1" s="1"/>
  <c r="S143" i="1"/>
  <c r="U115" i="1"/>
  <c r="S115" i="1"/>
  <c r="S92" i="1"/>
  <c r="U92" i="1"/>
  <c r="V92" i="1" s="1"/>
  <c r="U97" i="1"/>
  <c r="V97" i="1" s="1"/>
  <c r="S97" i="1"/>
  <c r="U385" i="1"/>
  <c r="S385" i="1"/>
  <c r="S276" i="1"/>
  <c r="U276" i="1"/>
  <c r="V276" i="1" s="1"/>
  <c r="U309" i="1"/>
  <c r="V309" i="1" s="1"/>
  <c r="S309" i="1"/>
  <c r="U179" i="1"/>
  <c r="V179" i="1" s="1"/>
  <c r="S179" i="1"/>
  <c r="U48" i="1"/>
  <c r="V48" i="1" s="1"/>
  <c r="S48" i="1"/>
  <c r="U15" i="1"/>
  <c r="V15" i="1" s="1"/>
  <c r="S15" i="1"/>
  <c r="V345" i="1"/>
  <c r="S263" i="1"/>
  <c r="U263" i="1"/>
  <c r="V263" i="1" s="1"/>
  <c r="S186" i="1"/>
  <c r="U186" i="1"/>
  <c r="V186" i="1" s="1"/>
  <c r="U476" i="1"/>
  <c r="S476" i="1"/>
  <c r="U410" i="1"/>
  <c r="S410" i="1"/>
  <c r="S243" i="1"/>
  <c r="U243" i="1"/>
  <c r="V243" i="1" s="1"/>
  <c r="U17" i="1"/>
  <c r="V17" i="1" s="1"/>
  <c r="S17" i="1"/>
  <c r="S152" i="1"/>
  <c r="U152" i="1"/>
  <c r="V152" i="1" s="1"/>
  <c r="S228" i="1"/>
  <c r="U228" i="1"/>
  <c r="V228" i="1" s="1"/>
  <c r="U14" i="1"/>
  <c r="V14" i="1" s="1"/>
  <c r="S14" i="1"/>
  <c r="U254" i="1"/>
  <c r="V254" i="1" s="1"/>
  <c r="S254" i="1"/>
  <c r="V482" i="1"/>
  <c r="U315" i="1"/>
  <c r="V315" i="1" s="1"/>
  <c r="S315" i="1"/>
  <c r="U395" i="1"/>
  <c r="V395" i="1" s="1"/>
  <c r="S395" i="1"/>
  <c r="S206" i="1"/>
  <c r="U206" i="1"/>
  <c r="V206" i="1" s="1"/>
  <c r="U422" i="1"/>
  <c r="V422" i="1" s="1"/>
  <c r="S422" i="1"/>
  <c r="S330" i="1"/>
  <c r="U330" i="1"/>
  <c r="V330" i="1" s="1"/>
  <c r="U34" i="1"/>
  <c r="V34" i="1" s="1"/>
  <c r="S34" i="1"/>
  <c r="U26" i="1"/>
  <c r="S26" i="1"/>
  <c r="U170" i="1"/>
  <c r="V170" i="1" s="1"/>
  <c r="S170" i="1"/>
  <c r="V408" i="1"/>
  <c r="U246" i="1"/>
  <c r="V246" i="1" s="1"/>
  <c r="S246" i="1"/>
  <c r="S85" i="1"/>
  <c r="U85" i="1"/>
  <c r="V85" i="1" s="1"/>
  <c r="U301" i="1"/>
  <c r="S301" i="1"/>
  <c r="S312" i="1"/>
  <c r="U312" i="1"/>
  <c r="V312" i="1" s="1"/>
  <c r="U394" i="1"/>
  <c r="V394" i="1" s="1"/>
  <c r="S394" i="1"/>
  <c r="U296" i="1"/>
  <c r="V296" i="1" s="1"/>
  <c r="S296" i="1"/>
  <c r="U252" i="1"/>
  <c r="V252" i="1" s="1"/>
  <c r="S252" i="1"/>
  <c r="U151" i="1"/>
  <c r="V151" i="1" s="1"/>
  <c r="S151" i="1"/>
  <c r="S241" i="1"/>
  <c r="U241" i="1"/>
  <c r="V241" i="1" s="1"/>
  <c r="S96" i="1"/>
  <c r="U96" i="1"/>
  <c r="V96" i="1" s="1"/>
  <c r="V115" i="1"/>
  <c r="U310" i="1"/>
  <c r="V310" i="1" s="1"/>
  <c r="S310" i="1"/>
  <c r="U333" i="1"/>
  <c r="V333" i="1" s="1"/>
  <c r="S333" i="1"/>
  <c r="U345" i="1"/>
  <c r="S345" i="1"/>
  <c r="U262" i="1"/>
  <c r="V262" i="1" s="1"/>
  <c r="S262" i="1"/>
  <c r="U239" i="1"/>
  <c r="V239" i="1" s="1"/>
  <c r="S239" i="1"/>
  <c r="U452" i="1"/>
  <c r="V452" i="1" s="1"/>
  <c r="S452" i="1"/>
  <c r="S420" i="1"/>
  <c r="U420" i="1"/>
  <c r="V420" i="1" s="1"/>
  <c r="U110" i="1"/>
  <c r="S110" i="1"/>
  <c r="S362" i="1"/>
  <c r="U362" i="1"/>
  <c r="U33" i="1"/>
  <c r="V33" i="1" s="1"/>
  <c r="S33" i="1"/>
  <c r="U118" i="1"/>
  <c r="V118" i="1" s="1"/>
  <c r="S118" i="1"/>
  <c r="U109" i="1"/>
  <c r="S109" i="1"/>
  <c r="U253" i="1"/>
  <c r="S253" i="1"/>
  <c r="U397" i="1"/>
  <c r="V397" i="1" s="1"/>
  <c r="S397" i="1"/>
  <c r="V110" i="1"/>
  <c r="U194" i="1"/>
  <c r="V194" i="1" s="1"/>
  <c r="S194" i="1"/>
  <c r="V362" i="1"/>
  <c r="U132" i="1"/>
  <c r="V132" i="1" s="1"/>
  <c r="S132" i="1"/>
  <c r="U344" i="1"/>
  <c r="S344" i="1"/>
  <c r="S371" i="1"/>
  <c r="U371" i="1"/>
  <c r="S407" i="1"/>
  <c r="U407" i="1"/>
  <c r="V407" i="1" s="1"/>
  <c r="V253" i="1"/>
  <c r="U24" i="1"/>
  <c r="V24" i="1" s="1"/>
  <c r="S24" i="1"/>
  <c r="U120" i="1"/>
  <c r="V120" i="1" s="1"/>
  <c r="S120" i="1"/>
  <c r="S446" i="1"/>
  <c r="U446" i="1"/>
  <c r="V344" i="1"/>
  <c r="U488" i="1"/>
  <c r="V488" i="1" s="1"/>
  <c r="S488" i="1"/>
  <c r="U332" i="1"/>
  <c r="V332" i="1" s="1"/>
  <c r="S332" i="1"/>
  <c r="U287" i="1"/>
  <c r="V287" i="1" s="1"/>
  <c r="S287" i="1"/>
  <c r="U49" i="1"/>
  <c r="V49" i="1" s="1"/>
  <c r="S49" i="1"/>
  <c r="U121" i="1"/>
  <c r="V121" i="1" s="1"/>
  <c r="S121" i="1"/>
  <c r="U193" i="1"/>
  <c r="V193" i="1" s="1"/>
  <c r="S193" i="1"/>
  <c r="S265" i="1"/>
  <c r="U265" i="1"/>
  <c r="V265" i="1" s="1"/>
  <c r="S337" i="1"/>
  <c r="U337" i="1"/>
  <c r="V337" i="1" s="1"/>
  <c r="U409" i="1"/>
  <c r="V409" i="1" s="1"/>
  <c r="S409" i="1"/>
  <c r="V446" i="1"/>
  <c r="U240" i="1"/>
  <c r="V240" i="1" s="1"/>
  <c r="S240" i="1"/>
  <c r="V84" i="1"/>
  <c r="U336" i="1"/>
  <c r="S336" i="1"/>
  <c r="U231" i="1"/>
  <c r="V231" i="1" s="1"/>
  <c r="S231" i="1"/>
  <c r="V414" i="1"/>
  <c r="U247" i="1"/>
  <c r="V247" i="1" s="1"/>
  <c r="S247" i="1"/>
  <c r="U117" i="1"/>
  <c r="V117" i="1" s="1"/>
  <c r="S117" i="1"/>
  <c r="S467" i="1"/>
  <c r="U467" i="1"/>
  <c r="V467" i="1" s="1"/>
  <c r="S200" i="1"/>
  <c r="U200" i="1"/>
  <c r="V200" i="1" s="1"/>
  <c r="U478" i="1"/>
  <c r="V478" i="1" s="1"/>
  <c r="S478" i="1"/>
  <c r="U9" i="1"/>
  <c r="V9" i="1" s="1"/>
  <c r="S9" i="1"/>
  <c r="V128" i="1"/>
  <c r="U297" i="1"/>
  <c r="V297" i="1" s="1"/>
  <c r="S297" i="1"/>
  <c r="U331" i="1"/>
  <c r="V331" i="1" s="1"/>
  <c r="S331" i="1"/>
  <c r="U168" i="1"/>
  <c r="S168" i="1"/>
  <c r="U62" i="1"/>
  <c r="S62" i="1"/>
  <c r="S134" i="1"/>
  <c r="U134" i="1"/>
  <c r="V134" i="1" s="1"/>
  <c r="U218" i="1"/>
  <c r="V218" i="1" s="1"/>
  <c r="S218" i="1"/>
  <c r="S302" i="1"/>
  <c r="U302" i="1"/>
  <c r="V302" i="1" s="1"/>
  <c r="S386" i="1"/>
  <c r="U386" i="1"/>
  <c r="V386" i="1" s="1"/>
  <c r="S458" i="1"/>
  <c r="U458" i="1"/>
  <c r="V458" i="1" s="1"/>
  <c r="U72" i="1"/>
  <c r="V72" i="1" s="1"/>
  <c r="S72" i="1"/>
  <c r="S360" i="1"/>
  <c r="U360" i="1"/>
  <c r="V360" i="1" s="1"/>
  <c r="U156" i="1"/>
  <c r="V156" i="1" s="1"/>
  <c r="S156" i="1"/>
  <c r="V336" i="1"/>
  <c r="U429" i="1"/>
  <c r="V429" i="1" s="1"/>
  <c r="S429" i="1"/>
  <c r="S8" i="1"/>
  <c r="U8" i="1"/>
  <c r="V8" i="1" s="1"/>
  <c r="V168" i="1"/>
  <c r="V480" i="1"/>
  <c r="U180" i="1"/>
  <c r="V180" i="1" s="1"/>
  <c r="S180" i="1"/>
  <c r="V372" i="1"/>
  <c r="V313" i="1"/>
  <c r="V144" i="1"/>
  <c r="U38" i="1"/>
  <c r="S38" i="1"/>
  <c r="S278" i="1"/>
  <c r="U278" i="1"/>
  <c r="U286" i="1"/>
  <c r="V286" i="1" s="1"/>
  <c r="S286" i="1"/>
  <c r="U311" i="1"/>
  <c r="V311" i="1" s="1"/>
  <c r="S311" i="1"/>
  <c r="U392" i="1"/>
  <c r="V392" i="1" s="1"/>
  <c r="S392" i="1"/>
  <c r="S37" i="1"/>
  <c r="U37" i="1"/>
  <c r="V37" i="1" s="1"/>
  <c r="U325" i="1"/>
  <c r="S325" i="1"/>
  <c r="U324" i="1"/>
  <c r="V324" i="1" s="1"/>
  <c r="S324" i="1"/>
  <c r="V38" i="1"/>
  <c r="V300" i="1"/>
  <c r="U187" i="1"/>
  <c r="V187" i="1" s="1"/>
  <c r="S187" i="1"/>
  <c r="U93" i="1"/>
  <c r="V93" i="1" s="1"/>
  <c r="S93" i="1"/>
  <c r="V109" i="1"/>
  <c r="V325" i="1"/>
  <c r="U348" i="1"/>
  <c r="V348" i="1" s="1"/>
  <c r="S348" i="1"/>
  <c r="U50" i="1"/>
  <c r="V50" i="1" s="1"/>
  <c r="S50" i="1"/>
  <c r="S374" i="1"/>
  <c r="U374" i="1"/>
  <c r="V374" i="1" s="1"/>
  <c r="V100" i="1"/>
  <c r="U489" i="1"/>
  <c r="V489" i="1" s="1"/>
  <c r="S489" i="1"/>
  <c r="U428" i="1"/>
  <c r="V428" i="1" s="1"/>
  <c r="S428" i="1"/>
  <c r="S154" i="1"/>
  <c r="U154" i="1"/>
  <c r="V154" i="1" s="1"/>
  <c r="U479" i="1"/>
  <c r="V479" i="1" s="1"/>
  <c r="S479" i="1"/>
  <c r="S455" i="1"/>
  <c r="U455" i="1"/>
  <c r="V455" i="1" s="1"/>
  <c r="U440" i="1"/>
  <c r="V440" i="1" s="1"/>
  <c r="S440" i="1"/>
  <c r="S133" i="1"/>
  <c r="U133" i="1"/>
  <c r="S277" i="1"/>
  <c r="U277" i="1"/>
  <c r="V277" i="1" s="1"/>
  <c r="V62" i="1"/>
  <c r="U102" i="1"/>
  <c r="V102" i="1" s="1"/>
  <c r="S102" i="1"/>
  <c r="V101" i="1"/>
  <c r="V178" i="1"/>
  <c r="S167" i="1"/>
  <c r="U167" i="1"/>
  <c r="V167" i="1" s="1"/>
  <c r="U477" i="1"/>
  <c r="V477" i="1" s="1"/>
  <c r="S477" i="1"/>
  <c r="U58" i="1"/>
  <c r="V58" i="1" s="1"/>
  <c r="S58" i="1"/>
  <c r="U215" i="1"/>
  <c r="V215" i="1" s="1"/>
  <c r="S215" i="1"/>
  <c r="V251" i="1"/>
  <c r="U95" i="1"/>
  <c r="V95" i="1" s="1"/>
  <c r="S95" i="1"/>
  <c r="U201" i="1"/>
  <c r="V201" i="1" s="1"/>
  <c r="S201" i="1"/>
  <c r="V133" i="1"/>
  <c r="U433" i="1"/>
  <c r="S433" i="1"/>
  <c r="V384" i="1"/>
  <c r="U12" i="1"/>
  <c r="V12" i="1" s="1"/>
  <c r="S12" i="1"/>
  <c r="V204" i="1"/>
  <c r="S468" i="1"/>
  <c r="U468" i="1"/>
  <c r="V468" i="1" s="1"/>
  <c r="U74" i="1"/>
  <c r="V74" i="1" s="1"/>
  <c r="S74" i="1"/>
  <c r="U146" i="1"/>
  <c r="S146" i="1"/>
  <c r="S230" i="1"/>
  <c r="U230" i="1"/>
  <c r="U314" i="1"/>
  <c r="S314" i="1"/>
  <c r="S398" i="1"/>
  <c r="U398" i="1"/>
  <c r="V398" i="1" s="1"/>
  <c r="U470" i="1"/>
  <c r="V470" i="1" s="1"/>
  <c r="S470" i="1"/>
  <c r="S372" i="1"/>
  <c r="U372" i="1"/>
  <c r="U203" i="1"/>
  <c r="V203" i="1" s="1"/>
  <c r="S203" i="1"/>
  <c r="V385" i="1"/>
  <c r="S264" i="1"/>
  <c r="U264" i="1"/>
  <c r="V264" i="1" s="1"/>
  <c r="U434" i="1"/>
  <c r="V434" i="1" s="1"/>
  <c r="S434" i="1"/>
  <c r="U329" i="1"/>
  <c r="V329" i="1" s="1"/>
  <c r="S329" i="1"/>
  <c r="U426" i="1"/>
  <c r="V426" i="1" s="1"/>
  <c r="S426" i="1"/>
  <c r="V371" i="1"/>
  <c r="U181" i="1"/>
  <c r="V181" i="1" s="1"/>
  <c r="S181" i="1"/>
  <c r="V278" i="1"/>
  <c r="U288" i="1"/>
  <c r="V288" i="1" s="1"/>
  <c r="S288" i="1"/>
  <c r="U411" i="1"/>
  <c r="V411" i="1" s="1"/>
  <c r="S411" i="1"/>
  <c r="S270" i="1"/>
  <c r="U270" i="1"/>
  <c r="S57" i="1"/>
  <c r="U57" i="1"/>
  <c r="V57" i="1" s="1"/>
  <c r="U453" i="1"/>
  <c r="V453" i="1" s="1"/>
  <c r="S453" i="1"/>
  <c r="U391" i="1"/>
  <c r="V391" i="1" s="1"/>
  <c r="S391" i="1"/>
  <c r="U431" i="1"/>
  <c r="V431" i="1" s="1"/>
  <c r="S431" i="1"/>
  <c r="V501" i="1"/>
  <c r="U493" i="1"/>
  <c r="V493" i="1" s="1"/>
  <c r="S493" i="1"/>
  <c r="U122" i="1"/>
  <c r="V122" i="1" s="1"/>
  <c r="S122" i="1"/>
  <c r="U290" i="1"/>
  <c r="V290" i="1" s="1"/>
  <c r="S290" i="1"/>
  <c r="U300" i="1"/>
  <c r="S300" i="1"/>
  <c r="V270" i="1"/>
  <c r="U16" i="1"/>
  <c r="V16" i="1" s="1"/>
  <c r="S16" i="1"/>
  <c r="U71" i="1"/>
  <c r="V71" i="1" s="1"/>
  <c r="S71" i="1"/>
  <c r="V190" i="1"/>
  <c r="S359" i="1"/>
  <c r="U359" i="1"/>
  <c r="V359" i="1" s="1"/>
  <c r="S61" i="1"/>
  <c r="U61" i="1"/>
  <c r="V61" i="1" s="1"/>
  <c r="U205" i="1"/>
  <c r="V205" i="1" s="1"/>
  <c r="S205" i="1"/>
  <c r="U349" i="1"/>
  <c r="V349" i="1" s="1"/>
  <c r="S349" i="1"/>
  <c r="U87" i="1"/>
  <c r="V87" i="1" s="1"/>
  <c r="S87" i="1"/>
  <c r="S90" i="1"/>
  <c r="U90" i="1"/>
  <c r="V90" i="1" s="1"/>
  <c r="S245" i="1"/>
  <c r="U245" i="1"/>
  <c r="V245" i="1" s="1"/>
  <c r="U250" i="1"/>
  <c r="V250" i="1" s="1"/>
  <c r="S250" i="1"/>
  <c r="U393" i="1"/>
  <c r="V393" i="1" s="1"/>
  <c r="S393" i="1"/>
  <c r="U213" i="1"/>
  <c r="V213" i="1" s="1"/>
  <c r="S213" i="1"/>
  <c r="V405" i="1"/>
  <c r="U70" i="1"/>
  <c r="V70" i="1" s="1"/>
  <c r="S70" i="1"/>
  <c r="V476" i="1"/>
  <c r="U59" i="1"/>
  <c r="V59" i="1" s="1"/>
  <c r="S59" i="1"/>
  <c r="U73" i="1"/>
  <c r="V73" i="1" s="1"/>
  <c r="S73" i="1"/>
  <c r="S145" i="1"/>
  <c r="U145" i="1"/>
  <c r="V145" i="1" s="1"/>
  <c r="U217" i="1"/>
  <c r="V217" i="1" s="1"/>
  <c r="S217" i="1"/>
  <c r="S289" i="1"/>
  <c r="U289" i="1"/>
  <c r="S361" i="1"/>
  <c r="U361" i="1"/>
  <c r="V361" i="1" s="1"/>
  <c r="V433" i="1"/>
  <c r="S204" i="1"/>
  <c r="U204" i="1"/>
  <c r="V146" i="1"/>
  <c r="V230" i="1"/>
  <c r="V314" i="1"/>
  <c r="U108" i="1"/>
  <c r="V108" i="1" s="1"/>
  <c r="S108" i="1"/>
  <c r="U444" i="1"/>
  <c r="V444" i="1" s="1"/>
  <c r="S444" i="1"/>
  <c r="U216" i="1"/>
  <c r="S216" i="1"/>
  <c r="U408" i="1"/>
  <c r="S408" i="1"/>
  <c r="J4" i="1"/>
  <c r="K3" i="1"/>
  <c r="Q3" i="1" s="1"/>
  <c r="K4" i="1" l="1"/>
  <c r="Q4" i="1" s="1"/>
  <c r="J5" i="1"/>
  <c r="J6" i="1" l="1"/>
  <c r="K5" i="1"/>
  <c r="Q5" i="1" s="1"/>
  <c r="K6" i="1" l="1"/>
  <c r="Q6" i="1" s="1"/>
  <c r="J7" i="1"/>
  <c r="J8" i="1" l="1"/>
  <c r="K7" i="1"/>
  <c r="Q7" i="1" s="1"/>
  <c r="K8" i="1" l="1"/>
  <c r="Q8" i="1" s="1"/>
  <c r="J9" i="1"/>
  <c r="K9" i="1" l="1"/>
  <c r="Q9" i="1" s="1"/>
  <c r="J10" i="1"/>
  <c r="J11" i="1" l="1"/>
  <c r="K10" i="1"/>
  <c r="Q10" i="1" s="1"/>
  <c r="K11" i="1" l="1"/>
  <c r="Q11" i="1" s="1"/>
  <c r="J12" i="1"/>
  <c r="J13" i="1" l="1"/>
  <c r="K12" i="1"/>
  <c r="Q12" i="1" s="1"/>
  <c r="J14" i="1" l="1"/>
  <c r="K13" i="1"/>
  <c r="Q13" i="1" s="1"/>
  <c r="K14" i="1" l="1"/>
  <c r="Q14" i="1" s="1"/>
  <c r="J15" i="1"/>
  <c r="J16" i="1" l="1"/>
  <c r="K15" i="1"/>
  <c r="Q15" i="1" s="1"/>
  <c r="K16" i="1" l="1"/>
  <c r="Q16" i="1" s="1"/>
  <c r="J17" i="1"/>
  <c r="J18" i="1" l="1"/>
  <c r="K17" i="1"/>
  <c r="Q17" i="1" s="1"/>
  <c r="K18" i="1" l="1"/>
  <c r="Q18" i="1" s="1"/>
  <c r="J19" i="1"/>
  <c r="J20" i="1" l="1"/>
  <c r="K19" i="1"/>
  <c r="Q19" i="1" s="1"/>
  <c r="K20" i="1" l="1"/>
  <c r="Q20" i="1" s="1"/>
  <c r="J21" i="1"/>
  <c r="J22" i="1" l="1"/>
  <c r="K21" i="1"/>
  <c r="Q21" i="1" s="1"/>
  <c r="J23" i="1" l="1"/>
  <c r="K22" i="1"/>
  <c r="Q22" i="1" s="1"/>
  <c r="J24" i="1" l="1"/>
  <c r="K23" i="1"/>
  <c r="Q23" i="1" s="1"/>
  <c r="J25" i="1" l="1"/>
  <c r="K24" i="1"/>
  <c r="Q24" i="1" s="1"/>
  <c r="J26" i="1" l="1"/>
  <c r="K25" i="1"/>
  <c r="Q25" i="1" s="1"/>
  <c r="J27" i="1" l="1"/>
  <c r="K26" i="1"/>
  <c r="Q26" i="1" s="1"/>
  <c r="K27" i="1" l="1"/>
  <c r="Q27" i="1" s="1"/>
  <c r="J28" i="1"/>
  <c r="K28" i="1" l="1"/>
  <c r="Q28" i="1" s="1"/>
  <c r="J29" i="1"/>
  <c r="K29" i="1" l="1"/>
  <c r="Q29" i="1" s="1"/>
  <c r="J30" i="1"/>
  <c r="J31" i="1" l="1"/>
  <c r="K30" i="1"/>
  <c r="Q30" i="1" s="1"/>
  <c r="K31" i="1" l="1"/>
  <c r="Q31" i="1" s="1"/>
  <c r="J32" i="1"/>
  <c r="J33" i="1" l="1"/>
  <c r="K32" i="1"/>
  <c r="Q32" i="1" s="1"/>
  <c r="K33" i="1" l="1"/>
  <c r="Q33" i="1" s="1"/>
  <c r="J34" i="1"/>
  <c r="J35" i="1" l="1"/>
  <c r="K34" i="1"/>
  <c r="Q34" i="1" s="1"/>
  <c r="K35" i="1" l="1"/>
  <c r="Q35" i="1" s="1"/>
  <c r="J36" i="1"/>
  <c r="J37" i="1" l="1"/>
  <c r="K36" i="1"/>
  <c r="Q36" i="1" s="1"/>
  <c r="K37" i="1" l="1"/>
  <c r="Q37" i="1" s="1"/>
  <c r="J38" i="1"/>
  <c r="K38" i="1" l="1"/>
  <c r="Q38" i="1" s="1"/>
  <c r="J39" i="1"/>
  <c r="K39" i="1" l="1"/>
  <c r="Q39" i="1" s="1"/>
  <c r="J40" i="1"/>
  <c r="K40" i="1" l="1"/>
  <c r="Q40" i="1" s="1"/>
  <c r="J41" i="1"/>
  <c r="J42" i="1" l="1"/>
  <c r="K41" i="1"/>
  <c r="Q41" i="1" s="1"/>
  <c r="K42" i="1" l="1"/>
  <c r="Q42" i="1" s="1"/>
  <c r="J43" i="1"/>
  <c r="J44" i="1" l="1"/>
  <c r="K43" i="1"/>
  <c r="Q43" i="1" s="1"/>
  <c r="K44" i="1" l="1"/>
  <c r="Q44" i="1" s="1"/>
  <c r="J45" i="1"/>
  <c r="K45" i="1" l="1"/>
  <c r="Q45" i="1" s="1"/>
  <c r="J46" i="1"/>
  <c r="J47" i="1" l="1"/>
  <c r="K46" i="1"/>
  <c r="Q46" i="1" s="1"/>
  <c r="K47" i="1" l="1"/>
  <c r="Q47" i="1" s="1"/>
  <c r="J48" i="1"/>
  <c r="J49" i="1" l="1"/>
  <c r="K48" i="1"/>
  <c r="Q48" i="1" s="1"/>
  <c r="J50" i="1" l="1"/>
  <c r="K49" i="1"/>
  <c r="Q49" i="1" s="1"/>
  <c r="K50" i="1" l="1"/>
  <c r="Q50" i="1" s="1"/>
  <c r="J51" i="1"/>
  <c r="J52" i="1" l="1"/>
  <c r="K51" i="1"/>
  <c r="Q51" i="1" s="1"/>
  <c r="K52" i="1" l="1"/>
  <c r="Q52" i="1" s="1"/>
  <c r="J53" i="1"/>
  <c r="J54" i="1" l="1"/>
  <c r="K53" i="1"/>
  <c r="Q53" i="1" s="1"/>
  <c r="K54" i="1" l="1"/>
  <c r="Q54" i="1" s="1"/>
  <c r="J55" i="1"/>
  <c r="J56" i="1" l="1"/>
  <c r="K55" i="1"/>
  <c r="Q55" i="1" s="1"/>
  <c r="K56" i="1" l="1"/>
  <c r="Q56" i="1" s="1"/>
  <c r="J57" i="1"/>
  <c r="J58" i="1" l="1"/>
  <c r="K57" i="1"/>
  <c r="Q57" i="1" s="1"/>
  <c r="J59" i="1" l="1"/>
  <c r="K58" i="1"/>
  <c r="Q58" i="1" s="1"/>
  <c r="J60" i="1" l="1"/>
  <c r="K59" i="1"/>
  <c r="Q59" i="1" s="1"/>
  <c r="K60" i="1" l="1"/>
  <c r="Q60" i="1" s="1"/>
  <c r="J61" i="1"/>
  <c r="K61" i="1" l="1"/>
  <c r="Q61" i="1" s="1"/>
  <c r="J62" i="1"/>
  <c r="J63" i="1" l="1"/>
  <c r="K62" i="1"/>
  <c r="Q62" i="1" s="1"/>
  <c r="K63" i="1" l="1"/>
  <c r="Q63" i="1" s="1"/>
  <c r="J64" i="1"/>
  <c r="K64" i="1" l="1"/>
  <c r="Q64" i="1" s="1"/>
  <c r="J65" i="1"/>
  <c r="K65" i="1" l="1"/>
  <c r="Q65" i="1" s="1"/>
  <c r="J66" i="1"/>
  <c r="J67" i="1" l="1"/>
  <c r="K66" i="1"/>
  <c r="Q66" i="1" s="1"/>
  <c r="K67" i="1" l="1"/>
  <c r="Q67" i="1" s="1"/>
  <c r="J68" i="1"/>
  <c r="J69" i="1" l="1"/>
  <c r="K68" i="1"/>
  <c r="Q68" i="1" s="1"/>
  <c r="K69" i="1" l="1"/>
  <c r="Q69" i="1" s="1"/>
  <c r="J70" i="1"/>
  <c r="J71" i="1" l="1"/>
  <c r="K70" i="1"/>
  <c r="Q70" i="1" s="1"/>
  <c r="K71" i="1" l="1"/>
  <c r="Q71" i="1" s="1"/>
  <c r="J72" i="1"/>
  <c r="J73" i="1" l="1"/>
  <c r="K72" i="1"/>
  <c r="Q72" i="1" s="1"/>
  <c r="K73" i="1" l="1"/>
  <c r="Q73" i="1" s="1"/>
  <c r="J74" i="1"/>
  <c r="K74" i="1" l="1"/>
  <c r="Q74" i="1" s="1"/>
  <c r="J75" i="1"/>
  <c r="J76" i="1" l="1"/>
  <c r="K75" i="1"/>
  <c r="Q75" i="1" s="1"/>
  <c r="K76" i="1" l="1"/>
  <c r="Q76" i="1" s="1"/>
  <c r="J77" i="1"/>
  <c r="J78" i="1" l="1"/>
  <c r="K77" i="1"/>
  <c r="Q77" i="1" s="1"/>
  <c r="K78" i="1" l="1"/>
  <c r="Q78" i="1" s="1"/>
  <c r="J79" i="1"/>
  <c r="J80" i="1" l="1"/>
  <c r="K79" i="1"/>
  <c r="Q79" i="1" s="1"/>
  <c r="K80" i="1" l="1"/>
  <c r="Q80" i="1" s="1"/>
  <c r="J81" i="1"/>
  <c r="K81" i="1" l="1"/>
  <c r="Q81" i="1" s="1"/>
  <c r="J82" i="1"/>
  <c r="J83" i="1" l="1"/>
  <c r="K82" i="1"/>
  <c r="Q82" i="1" s="1"/>
  <c r="K83" i="1" l="1"/>
  <c r="Q83" i="1" s="1"/>
  <c r="J84" i="1"/>
  <c r="J85" i="1" l="1"/>
  <c r="K84" i="1"/>
  <c r="Q84" i="1" s="1"/>
  <c r="K85" i="1" l="1"/>
  <c r="Q85" i="1" s="1"/>
  <c r="J86" i="1"/>
  <c r="K86" i="1" l="1"/>
  <c r="Q86" i="1" s="1"/>
  <c r="J87" i="1"/>
  <c r="J88" i="1" l="1"/>
  <c r="K87" i="1"/>
  <c r="Q87" i="1" s="1"/>
  <c r="K88" i="1" l="1"/>
  <c r="Q88" i="1" s="1"/>
  <c r="J89" i="1"/>
  <c r="J90" i="1" l="1"/>
  <c r="K89" i="1"/>
  <c r="Q89" i="1" s="1"/>
  <c r="K90" i="1" l="1"/>
  <c r="Q90" i="1" s="1"/>
  <c r="J91" i="1"/>
  <c r="J92" i="1" l="1"/>
  <c r="K91" i="1"/>
  <c r="Q91" i="1" s="1"/>
  <c r="K92" i="1" l="1"/>
  <c r="Q92" i="1" s="1"/>
  <c r="J93" i="1"/>
  <c r="J94" i="1" l="1"/>
  <c r="K93" i="1"/>
  <c r="Q93" i="1" s="1"/>
  <c r="J95" i="1" l="1"/>
  <c r="K94" i="1"/>
  <c r="Q94" i="1" s="1"/>
  <c r="J96" i="1" l="1"/>
  <c r="K95" i="1"/>
  <c r="Q95" i="1" s="1"/>
  <c r="K96" i="1" l="1"/>
  <c r="Q96" i="1" s="1"/>
  <c r="J97" i="1"/>
  <c r="J98" i="1" l="1"/>
  <c r="K97" i="1"/>
  <c r="Q97" i="1" s="1"/>
  <c r="K98" i="1" l="1"/>
  <c r="Q98" i="1" s="1"/>
  <c r="J99" i="1"/>
  <c r="J100" i="1" l="1"/>
  <c r="K99" i="1"/>
  <c r="Q99" i="1" s="1"/>
  <c r="K100" i="1" l="1"/>
  <c r="Q100" i="1" s="1"/>
  <c r="J101" i="1"/>
  <c r="J102" i="1" l="1"/>
  <c r="K101" i="1"/>
  <c r="Q101" i="1" s="1"/>
  <c r="K102" i="1" l="1"/>
  <c r="Q102" i="1" s="1"/>
  <c r="J103" i="1"/>
  <c r="K103" i="1" l="1"/>
  <c r="Q103" i="1" s="1"/>
  <c r="J104" i="1"/>
  <c r="J105" i="1" l="1"/>
  <c r="K104" i="1"/>
  <c r="Q104" i="1" s="1"/>
  <c r="J106" i="1" l="1"/>
  <c r="K105" i="1"/>
  <c r="Q105" i="1" s="1"/>
  <c r="J107" i="1" l="1"/>
  <c r="K106" i="1"/>
  <c r="Q106" i="1" s="1"/>
  <c r="K107" i="1" l="1"/>
  <c r="Q107" i="1" s="1"/>
  <c r="J108" i="1"/>
  <c r="J109" i="1" l="1"/>
  <c r="K108" i="1"/>
  <c r="Q108" i="1" s="1"/>
  <c r="J110" i="1" l="1"/>
  <c r="K109" i="1"/>
  <c r="Q109" i="1" s="1"/>
  <c r="K110" i="1" l="1"/>
  <c r="Q110" i="1" s="1"/>
  <c r="J111" i="1"/>
  <c r="J112" i="1" l="1"/>
  <c r="K111" i="1"/>
  <c r="Q111" i="1" s="1"/>
  <c r="K112" i="1" l="1"/>
  <c r="Q112" i="1" s="1"/>
  <c r="J113" i="1"/>
  <c r="J114" i="1" l="1"/>
  <c r="K113" i="1"/>
  <c r="Q113" i="1" s="1"/>
  <c r="K114" i="1" l="1"/>
  <c r="Q114" i="1" s="1"/>
  <c r="J115" i="1"/>
  <c r="J116" i="1" l="1"/>
  <c r="K115" i="1"/>
  <c r="Q115" i="1" s="1"/>
  <c r="K116" i="1" l="1"/>
  <c r="Q116" i="1" s="1"/>
  <c r="J117" i="1"/>
  <c r="J118" i="1" l="1"/>
  <c r="K117" i="1"/>
  <c r="Q117" i="1" s="1"/>
  <c r="J119" i="1" l="1"/>
  <c r="K118" i="1"/>
  <c r="Q118" i="1" s="1"/>
  <c r="K119" i="1" l="1"/>
  <c r="Q119" i="1" s="1"/>
  <c r="J120" i="1"/>
  <c r="J121" i="1" l="1"/>
  <c r="K120" i="1"/>
  <c r="Q120" i="1" s="1"/>
  <c r="K121" i="1" l="1"/>
  <c r="Q121" i="1" s="1"/>
  <c r="J122" i="1"/>
  <c r="K122" i="1" l="1"/>
  <c r="Q122" i="1" s="1"/>
  <c r="J123" i="1"/>
  <c r="J124" i="1" l="1"/>
  <c r="K123" i="1"/>
  <c r="Q123" i="1" s="1"/>
  <c r="K124" i="1" l="1"/>
  <c r="Q124" i="1" s="1"/>
  <c r="J125" i="1"/>
  <c r="J126" i="1" l="1"/>
  <c r="K125" i="1"/>
  <c r="Q125" i="1" s="1"/>
  <c r="K126" i="1" l="1"/>
  <c r="Q126" i="1" s="1"/>
  <c r="J127" i="1"/>
  <c r="J128" i="1" l="1"/>
  <c r="K127" i="1"/>
  <c r="Q127" i="1" s="1"/>
  <c r="J129" i="1" l="1"/>
  <c r="K128" i="1"/>
  <c r="Q128" i="1" s="1"/>
  <c r="K129" i="1" l="1"/>
  <c r="Q129" i="1" s="1"/>
  <c r="J130" i="1"/>
  <c r="J131" i="1" l="1"/>
  <c r="K130" i="1"/>
  <c r="Q130" i="1" s="1"/>
  <c r="K131" i="1" l="1"/>
  <c r="Q131" i="1" s="1"/>
  <c r="J132" i="1"/>
  <c r="J133" i="1" l="1"/>
  <c r="K132" i="1"/>
  <c r="Q132" i="1" s="1"/>
  <c r="J134" i="1" l="1"/>
  <c r="K133" i="1"/>
  <c r="Q133" i="1" s="1"/>
  <c r="K134" i="1" l="1"/>
  <c r="Q134" i="1" s="1"/>
  <c r="J135" i="1"/>
  <c r="J136" i="1" l="1"/>
  <c r="K135" i="1"/>
  <c r="Q135" i="1" s="1"/>
  <c r="K136" i="1" l="1"/>
  <c r="Q136" i="1" s="1"/>
  <c r="J137" i="1"/>
  <c r="J138" i="1" l="1"/>
  <c r="K137" i="1"/>
  <c r="Q137" i="1" s="1"/>
  <c r="K138" i="1" l="1"/>
  <c r="Q138" i="1" s="1"/>
  <c r="J139" i="1"/>
  <c r="K139" i="1" l="1"/>
  <c r="Q139" i="1" s="1"/>
  <c r="J140" i="1"/>
  <c r="J141" i="1" l="1"/>
  <c r="K140" i="1"/>
  <c r="Q140" i="1" s="1"/>
  <c r="K141" i="1" l="1"/>
  <c r="Q141" i="1" s="1"/>
  <c r="J142" i="1"/>
  <c r="J143" i="1" l="1"/>
  <c r="K142" i="1"/>
  <c r="Q142" i="1" s="1"/>
  <c r="K143" i="1" l="1"/>
  <c r="Q143" i="1" s="1"/>
  <c r="J144" i="1"/>
  <c r="J145" i="1" l="1"/>
  <c r="K144" i="1"/>
  <c r="Q144" i="1" s="1"/>
  <c r="K145" i="1" l="1"/>
  <c r="Q145" i="1" s="1"/>
  <c r="J146" i="1"/>
  <c r="J147" i="1" l="1"/>
  <c r="K146" i="1"/>
  <c r="Q146" i="1" s="1"/>
  <c r="K147" i="1" l="1"/>
  <c r="Q147" i="1" s="1"/>
  <c r="J148" i="1"/>
  <c r="K148" i="1" l="1"/>
  <c r="Q148" i="1" s="1"/>
  <c r="J149" i="1"/>
  <c r="J150" i="1" l="1"/>
  <c r="K149" i="1"/>
  <c r="Q149" i="1" s="1"/>
  <c r="K150" i="1" l="1"/>
  <c r="Q150" i="1" s="1"/>
  <c r="J151" i="1"/>
  <c r="J152" i="1" l="1"/>
  <c r="K151" i="1"/>
  <c r="Q151" i="1" s="1"/>
  <c r="J153" i="1" l="1"/>
  <c r="K152" i="1"/>
  <c r="Q152" i="1" s="1"/>
  <c r="K153" i="1" l="1"/>
  <c r="Q153" i="1" s="1"/>
  <c r="J154" i="1"/>
  <c r="J155" i="1" l="1"/>
  <c r="K154" i="1"/>
  <c r="Q154" i="1" s="1"/>
  <c r="K155" i="1" l="1"/>
  <c r="Q155" i="1" s="1"/>
  <c r="J156" i="1"/>
  <c r="J157" i="1" l="1"/>
  <c r="K156" i="1"/>
  <c r="Q156" i="1" s="1"/>
  <c r="J158" i="1" l="1"/>
  <c r="K157" i="1"/>
  <c r="Q157" i="1" s="1"/>
  <c r="J159" i="1" l="1"/>
  <c r="K158" i="1"/>
  <c r="Q158" i="1" s="1"/>
  <c r="K159" i="1" l="1"/>
  <c r="Q159" i="1" s="1"/>
  <c r="J160" i="1"/>
  <c r="K160" i="1" l="1"/>
  <c r="Q160" i="1" s="1"/>
  <c r="J161" i="1"/>
  <c r="J162" i="1" l="1"/>
  <c r="K161" i="1"/>
  <c r="Q161" i="1" s="1"/>
  <c r="K162" i="1" l="1"/>
  <c r="Q162" i="1" s="1"/>
  <c r="J163" i="1"/>
  <c r="K163" i="1" l="1"/>
  <c r="Q163" i="1" s="1"/>
  <c r="J164" i="1"/>
  <c r="J165" i="1" l="1"/>
  <c r="K164" i="1"/>
  <c r="Q164" i="1" s="1"/>
  <c r="K165" i="1" l="1"/>
  <c r="Q165" i="1" s="1"/>
  <c r="J166" i="1"/>
  <c r="J167" i="1" l="1"/>
  <c r="K166" i="1"/>
  <c r="Q166" i="1" s="1"/>
  <c r="K167" i="1" l="1"/>
  <c r="Q167" i="1" s="1"/>
  <c r="J168" i="1"/>
  <c r="J169" i="1" l="1"/>
  <c r="K168" i="1"/>
  <c r="Q168" i="1" s="1"/>
  <c r="K169" i="1" l="1"/>
  <c r="Q169" i="1" s="1"/>
  <c r="J170" i="1"/>
  <c r="J171" i="1" l="1"/>
  <c r="K170" i="1"/>
  <c r="Q170" i="1" s="1"/>
  <c r="K171" i="1" l="1"/>
  <c r="Q171" i="1" s="1"/>
  <c r="J172" i="1"/>
  <c r="K172" i="1" l="1"/>
  <c r="Q172" i="1" s="1"/>
  <c r="J173" i="1"/>
  <c r="J174" i="1" l="1"/>
  <c r="K173" i="1"/>
  <c r="Q173" i="1" s="1"/>
  <c r="K174" i="1" l="1"/>
  <c r="Q174" i="1" s="1"/>
  <c r="J175" i="1"/>
  <c r="K175" i="1" l="1"/>
  <c r="Q175" i="1" s="1"/>
  <c r="J176" i="1"/>
  <c r="J177" i="1" l="1"/>
  <c r="K176" i="1"/>
  <c r="Q176" i="1" s="1"/>
  <c r="K177" i="1" l="1"/>
  <c r="Q177" i="1" s="1"/>
  <c r="J178" i="1"/>
  <c r="J179" i="1" l="1"/>
  <c r="K178" i="1"/>
  <c r="Q178" i="1" s="1"/>
  <c r="K179" i="1" l="1"/>
  <c r="Q179" i="1" s="1"/>
  <c r="J180" i="1"/>
  <c r="J181" i="1" l="1"/>
  <c r="K180" i="1"/>
  <c r="Q180" i="1" s="1"/>
  <c r="K181" i="1" l="1"/>
  <c r="Q181" i="1" s="1"/>
  <c r="J182" i="1"/>
  <c r="J183" i="1" l="1"/>
  <c r="K182" i="1"/>
  <c r="Q182" i="1" s="1"/>
  <c r="K183" i="1" l="1"/>
  <c r="Q183" i="1" s="1"/>
  <c r="J184" i="1"/>
  <c r="K184" i="1" l="1"/>
  <c r="Q184" i="1" s="1"/>
  <c r="J185" i="1"/>
  <c r="J186" i="1" l="1"/>
  <c r="K185" i="1"/>
  <c r="Q185" i="1" s="1"/>
  <c r="K186" i="1" l="1"/>
  <c r="Q186" i="1" s="1"/>
  <c r="J187" i="1"/>
  <c r="J188" i="1" l="1"/>
  <c r="K187" i="1"/>
  <c r="Q187" i="1" s="1"/>
  <c r="J189" i="1" l="1"/>
  <c r="K188" i="1"/>
  <c r="Q188" i="1" s="1"/>
  <c r="K189" i="1" l="1"/>
  <c r="Q189" i="1" s="1"/>
  <c r="J190" i="1"/>
  <c r="J191" i="1" l="1"/>
  <c r="K190" i="1"/>
  <c r="Q190" i="1" s="1"/>
  <c r="K191" i="1" l="1"/>
  <c r="Q191" i="1" s="1"/>
  <c r="J192" i="1"/>
  <c r="J193" i="1" l="1"/>
  <c r="K192" i="1"/>
  <c r="Q192" i="1" s="1"/>
  <c r="J194" i="1" l="1"/>
  <c r="K193" i="1"/>
  <c r="Q193" i="1" s="1"/>
  <c r="K194" i="1" l="1"/>
  <c r="Q194" i="1" s="1"/>
  <c r="J195" i="1"/>
  <c r="J196" i="1" l="1"/>
  <c r="K195" i="1"/>
  <c r="Q195" i="1" s="1"/>
  <c r="K196" i="1" l="1"/>
  <c r="Q196" i="1" s="1"/>
  <c r="J197" i="1"/>
  <c r="J198" i="1" l="1"/>
  <c r="K197" i="1"/>
  <c r="Q197" i="1" s="1"/>
  <c r="K198" i="1" l="1"/>
  <c r="Q198" i="1" s="1"/>
  <c r="J199" i="1"/>
  <c r="J200" i="1" l="1"/>
  <c r="K199" i="1"/>
  <c r="Q199" i="1" s="1"/>
  <c r="K200" i="1" l="1"/>
  <c r="Q200" i="1" s="1"/>
  <c r="J201" i="1"/>
  <c r="J202" i="1" l="1"/>
  <c r="K201" i="1"/>
  <c r="Q201" i="1" s="1"/>
  <c r="J203" i="1" l="1"/>
  <c r="K202" i="1"/>
  <c r="Q202" i="1" s="1"/>
  <c r="K203" i="1" l="1"/>
  <c r="Q203" i="1" s="1"/>
  <c r="J204" i="1"/>
  <c r="J205" i="1" l="1"/>
  <c r="K204" i="1"/>
  <c r="Q204" i="1" s="1"/>
  <c r="J206" i="1" l="1"/>
  <c r="K205" i="1"/>
  <c r="Q205" i="1" s="1"/>
  <c r="K206" i="1" l="1"/>
  <c r="Q206" i="1" s="1"/>
  <c r="J207" i="1"/>
  <c r="J208" i="1" l="1"/>
  <c r="K207" i="1"/>
  <c r="Q207" i="1" s="1"/>
  <c r="K208" i="1" l="1"/>
  <c r="Q208" i="1" s="1"/>
  <c r="J209" i="1"/>
  <c r="J210" i="1" l="1"/>
  <c r="K209" i="1"/>
  <c r="Q209" i="1" s="1"/>
  <c r="K210" i="1" l="1"/>
  <c r="Q210" i="1" s="1"/>
  <c r="J211" i="1"/>
  <c r="J212" i="1" l="1"/>
  <c r="K211" i="1"/>
  <c r="Q211" i="1" s="1"/>
  <c r="K212" i="1" l="1"/>
  <c r="Q212" i="1" s="1"/>
  <c r="J213" i="1"/>
  <c r="J214" i="1" l="1"/>
  <c r="K213" i="1"/>
  <c r="Q213" i="1" s="1"/>
  <c r="J215" i="1" l="1"/>
  <c r="K214" i="1"/>
  <c r="Q214" i="1" s="1"/>
  <c r="K215" i="1" l="1"/>
  <c r="Q215" i="1" s="1"/>
  <c r="J216" i="1"/>
  <c r="J217" i="1" l="1"/>
  <c r="K216" i="1"/>
  <c r="Q216" i="1" s="1"/>
  <c r="K217" i="1" l="1"/>
  <c r="Q217" i="1" s="1"/>
  <c r="J218" i="1"/>
  <c r="K218" i="1" l="1"/>
  <c r="Q218" i="1" s="1"/>
  <c r="J219" i="1"/>
  <c r="J220" i="1" l="1"/>
  <c r="K219" i="1"/>
  <c r="Q219" i="1" s="1"/>
  <c r="K220" i="1" l="1"/>
  <c r="Q220" i="1" s="1"/>
  <c r="J221" i="1"/>
  <c r="J222" i="1" l="1"/>
  <c r="K221" i="1"/>
  <c r="Q221" i="1" s="1"/>
  <c r="K222" i="1" l="1"/>
  <c r="Q222" i="1" s="1"/>
  <c r="J223" i="1"/>
  <c r="J224" i="1" l="1"/>
  <c r="K223" i="1"/>
  <c r="Q223" i="1" s="1"/>
  <c r="K224" i="1" l="1"/>
  <c r="Q224" i="1" s="1"/>
  <c r="J225" i="1"/>
  <c r="J226" i="1" l="1"/>
  <c r="K225" i="1"/>
  <c r="Q225" i="1" s="1"/>
  <c r="J227" i="1" l="1"/>
  <c r="K226" i="1"/>
  <c r="Q226" i="1" s="1"/>
  <c r="K227" i="1" l="1"/>
  <c r="Q227" i="1" s="1"/>
  <c r="J228" i="1"/>
  <c r="J229" i="1" l="1"/>
  <c r="K228" i="1"/>
  <c r="Q228" i="1" s="1"/>
  <c r="J230" i="1" l="1"/>
  <c r="K229" i="1"/>
  <c r="Q229" i="1" s="1"/>
  <c r="K230" i="1" l="1"/>
  <c r="Q230" i="1" s="1"/>
  <c r="J231" i="1"/>
  <c r="J232" i="1" l="1"/>
  <c r="K231" i="1"/>
  <c r="Q231" i="1" s="1"/>
  <c r="K232" i="1" l="1"/>
  <c r="Q232" i="1" s="1"/>
  <c r="J233" i="1"/>
  <c r="J234" i="1" l="1"/>
  <c r="K233" i="1"/>
  <c r="Q233" i="1" s="1"/>
  <c r="K234" i="1" l="1"/>
  <c r="Q234" i="1" s="1"/>
  <c r="J235" i="1"/>
  <c r="J236" i="1" l="1"/>
  <c r="K235" i="1"/>
  <c r="Q235" i="1" s="1"/>
  <c r="J237" i="1" l="1"/>
  <c r="K236" i="1"/>
  <c r="Q236" i="1" s="1"/>
  <c r="K237" i="1" l="1"/>
  <c r="Q237" i="1" s="1"/>
  <c r="J238" i="1"/>
  <c r="J239" i="1" l="1"/>
  <c r="K238" i="1"/>
  <c r="Q238" i="1" s="1"/>
  <c r="K239" i="1" l="1"/>
  <c r="Q239" i="1" s="1"/>
  <c r="J240" i="1"/>
  <c r="J241" i="1" l="1"/>
  <c r="K240" i="1"/>
  <c r="Q240" i="1" s="1"/>
  <c r="J242" i="1" l="1"/>
  <c r="K241" i="1"/>
  <c r="Q241" i="1" s="1"/>
  <c r="J243" i="1" l="1"/>
  <c r="K242" i="1"/>
  <c r="Q242" i="1" s="1"/>
  <c r="J244" i="1" l="1"/>
  <c r="K243" i="1"/>
  <c r="Q243" i="1" s="1"/>
  <c r="K244" i="1" l="1"/>
  <c r="Q244" i="1" s="1"/>
  <c r="J245" i="1"/>
  <c r="J246" i="1" l="1"/>
  <c r="K245" i="1"/>
  <c r="Q245" i="1" s="1"/>
  <c r="K246" i="1" l="1"/>
  <c r="Q246" i="1" s="1"/>
  <c r="J247" i="1"/>
  <c r="J248" i="1" l="1"/>
  <c r="K247" i="1"/>
  <c r="Q247" i="1" s="1"/>
  <c r="J249" i="1" l="1"/>
  <c r="K248" i="1"/>
  <c r="Q248" i="1" s="1"/>
  <c r="J250" i="1" l="1"/>
  <c r="K249" i="1"/>
  <c r="Q249" i="1" s="1"/>
  <c r="J251" i="1" l="1"/>
  <c r="K250" i="1"/>
  <c r="Q250" i="1" s="1"/>
  <c r="J252" i="1" l="1"/>
  <c r="K251" i="1"/>
  <c r="Q251" i="1" s="1"/>
  <c r="K252" i="1" l="1"/>
  <c r="Q252" i="1" s="1"/>
  <c r="J253" i="1"/>
  <c r="J254" i="1" l="1"/>
  <c r="K253" i="1"/>
  <c r="Q253" i="1" s="1"/>
  <c r="K254" i="1" l="1"/>
  <c r="Q254" i="1" s="1"/>
  <c r="J255" i="1"/>
  <c r="J256" i="1" l="1"/>
  <c r="K255" i="1"/>
  <c r="Q255" i="1" s="1"/>
  <c r="K256" i="1" l="1"/>
  <c r="Q256" i="1" s="1"/>
  <c r="J257" i="1"/>
  <c r="K257" i="1" l="1"/>
  <c r="Q257" i="1" s="1"/>
  <c r="J258" i="1"/>
  <c r="J259" i="1" l="1"/>
  <c r="K258" i="1"/>
  <c r="Q258" i="1" s="1"/>
  <c r="K259" i="1" l="1"/>
  <c r="Q259" i="1" s="1"/>
  <c r="J260" i="1"/>
  <c r="J261" i="1" l="1"/>
  <c r="K260" i="1"/>
  <c r="Q260" i="1" s="1"/>
  <c r="K261" i="1" l="1"/>
  <c r="Q261" i="1" s="1"/>
  <c r="J262" i="1"/>
  <c r="J263" i="1" l="1"/>
  <c r="K262" i="1"/>
  <c r="Q262" i="1" s="1"/>
  <c r="K263" i="1" l="1"/>
  <c r="Q263" i="1" s="1"/>
  <c r="J264" i="1"/>
  <c r="J265" i="1" l="1"/>
  <c r="K264" i="1"/>
  <c r="Q264" i="1" s="1"/>
  <c r="K265" i="1" l="1"/>
  <c r="Q265" i="1" s="1"/>
  <c r="J266" i="1"/>
  <c r="K266" i="1" l="1"/>
  <c r="Q266" i="1" s="1"/>
  <c r="J267" i="1"/>
  <c r="K267" i="1" l="1"/>
  <c r="Q267" i="1" s="1"/>
  <c r="J268" i="1"/>
  <c r="K268" i="1" l="1"/>
  <c r="Q268" i="1" s="1"/>
  <c r="J269" i="1"/>
  <c r="K269" i="1" l="1"/>
  <c r="Q269" i="1" s="1"/>
  <c r="J270" i="1"/>
  <c r="J271" i="1" l="1"/>
  <c r="K270" i="1"/>
  <c r="Q270" i="1" s="1"/>
  <c r="J272" i="1" l="1"/>
  <c r="K271" i="1"/>
  <c r="Q271" i="1" s="1"/>
  <c r="J273" i="1" l="1"/>
  <c r="K272" i="1"/>
  <c r="Q272" i="1" s="1"/>
  <c r="K273" i="1" l="1"/>
  <c r="Q273" i="1" s="1"/>
  <c r="J274" i="1"/>
  <c r="J275" i="1" l="1"/>
  <c r="K274" i="1"/>
  <c r="Q274" i="1" s="1"/>
  <c r="K275" i="1" l="1"/>
  <c r="Q275" i="1" s="1"/>
  <c r="J276" i="1"/>
  <c r="K276" i="1" l="1"/>
  <c r="Q276" i="1" s="1"/>
  <c r="J277" i="1"/>
  <c r="J278" i="1" l="1"/>
  <c r="K277" i="1"/>
  <c r="Q277" i="1" s="1"/>
  <c r="K278" i="1" l="1"/>
  <c r="Q278" i="1" s="1"/>
  <c r="J279" i="1"/>
  <c r="J280" i="1" l="1"/>
  <c r="K279" i="1"/>
  <c r="Q279" i="1" s="1"/>
  <c r="K280" i="1" l="1"/>
  <c r="Q280" i="1" s="1"/>
  <c r="J281" i="1"/>
  <c r="J282" i="1" l="1"/>
  <c r="K281" i="1"/>
  <c r="Q281" i="1" s="1"/>
  <c r="K282" i="1" l="1"/>
  <c r="Q282" i="1" s="1"/>
  <c r="J283" i="1"/>
  <c r="J284" i="1" l="1"/>
  <c r="K283" i="1"/>
  <c r="Q283" i="1" s="1"/>
  <c r="J285" i="1" l="1"/>
  <c r="K284" i="1"/>
  <c r="Q284" i="1" s="1"/>
  <c r="J286" i="1" l="1"/>
  <c r="K285" i="1"/>
  <c r="Q285" i="1" s="1"/>
  <c r="J287" i="1" l="1"/>
  <c r="K286" i="1"/>
  <c r="Q286" i="1" s="1"/>
  <c r="J288" i="1" l="1"/>
  <c r="K287" i="1"/>
  <c r="Q287" i="1" s="1"/>
  <c r="K288" i="1" l="1"/>
  <c r="Q288" i="1" s="1"/>
  <c r="J289" i="1"/>
  <c r="J290" i="1" l="1"/>
  <c r="K289" i="1"/>
  <c r="Q289" i="1" s="1"/>
  <c r="K290" i="1" l="1"/>
  <c r="Q290" i="1" s="1"/>
  <c r="J291" i="1"/>
  <c r="J292" i="1" l="1"/>
  <c r="K291" i="1"/>
  <c r="Q291" i="1" s="1"/>
  <c r="K292" i="1" l="1"/>
  <c r="Q292" i="1" s="1"/>
  <c r="J293" i="1"/>
  <c r="K293" i="1" l="1"/>
  <c r="Q293" i="1" s="1"/>
  <c r="J294" i="1"/>
  <c r="J295" i="1" l="1"/>
  <c r="K294" i="1"/>
  <c r="Q294" i="1" s="1"/>
  <c r="K295" i="1" l="1"/>
  <c r="Q295" i="1" s="1"/>
  <c r="J296" i="1"/>
  <c r="J297" i="1" l="1"/>
  <c r="K296" i="1"/>
  <c r="Q296" i="1" s="1"/>
  <c r="K297" i="1" l="1"/>
  <c r="Q297" i="1" s="1"/>
  <c r="J298" i="1"/>
  <c r="J299" i="1" l="1"/>
  <c r="K298" i="1"/>
  <c r="Q298" i="1" s="1"/>
  <c r="K299" i="1" l="1"/>
  <c r="Q299" i="1" s="1"/>
  <c r="J300" i="1"/>
  <c r="J301" i="1" l="1"/>
  <c r="K300" i="1"/>
  <c r="Q300" i="1" s="1"/>
  <c r="K301" i="1" l="1"/>
  <c r="Q301" i="1" s="1"/>
  <c r="J302" i="1"/>
  <c r="K302" i="1" l="1"/>
  <c r="Q302" i="1" s="1"/>
  <c r="J303" i="1"/>
  <c r="K303" i="1" l="1"/>
  <c r="Q303" i="1" s="1"/>
  <c r="J304" i="1"/>
  <c r="K304" i="1" l="1"/>
  <c r="Q304" i="1" s="1"/>
  <c r="J305" i="1"/>
  <c r="K305" i="1" l="1"/>
  <c r="Q305" i="1" s="1"/>
  <c r="J306" i="1"/>
  <c r="J307" i="1" l="1"/>
  <c r="K306" i="1"/>
  <c r="Q306" i="1" s="1"/>
  <c r="K307" i="1" l="1"/>
  <c r="Q307" i="1" s="1"/>
  <c r="J308" i="1"/>
  <c r="J309" i="1" l="1"/>
  <c r="K308" i="1"/>
  <c r="Q308" i="1" s="1"/>
  <c r="J310" i="1" l="1"/>
  <c r="K309" i="1"/>
  <c r="Q309" i="1" s="1"/>
  <c r="J311" i="1" l="1"/>
  <c r="K310" i="1"/>
  <c r="Q310" i="1" s="1"/>
  <c r="J312" i="1" l="1"/>
  <c r="K311" i="1"/>
  <c r="Q311" i="1" s="1"/>
  <c r="K312" i="1" l="1"/>
  <c r="Q312" i="1" s="1"/>
  <c r="J313" i="1"/>
  <c r="J314" i="1" l="1"/>
  <c r="K313" i="1"/>
  <c r="Q313" i="1" s="1"/>
  <c r="K314" i="1" l="1"/>
  <c r="Q314" i="1" s="1"/>
  <c r="J315" i="1"/>
  <c r="J316" i="1" l="1"/>
  <c r="K315" i="1"/>
  <c r="Q315" i="1" s="1"/>
  <c r="K316" i="1" l="1"/>
  <c r="Q316" i="1" s="1"/>
  <c r="J317" i="1"/>
  <c r="J318" i="1" l="1"/>
  <c r="K317" i="1"/>
  <c r="Q317" i="1" s="1"/>
  <c r="J319" i="1" l="1"/>
  <c r="K318" i="1"/>
  <c r="Q318" i="1" s="1"/>
  <c r="K319" i="1" l="1"/>
  <c r="Q319" i="1" s="1"/>
  <c r="J320" i="1"/>
  <c r="J321" i="1" l="1"/>
  <c r="K320" i="1"/>
  <c r="Q320" i="1" s="1"/>
  <c r="K321" i="1" l="1"/>
  <c r="Q321" i="1" s="1"/>
  <c r="J322" i="1"/>
  <c r="J323" i="1" l="1"/>
  <c r="K322" i="1"/>
  <c r="Q322" i="1" s="1"/>
  <c r="J324" i="1" l="1"/>
  <c r="K323" i="1"/>
  <c r="Q323" i="1" s="1"/>
  <c r="J325" i="1" l="1"/>
  <c r="K324" i="1"/>
  <c r="Q324" i="1" s="1"/>
  <c r="K325" i="1" l="1"/>
  <c r="Q325" i="1" s="1"/>
  <c r="J326" i="1"/>
  <c r="K326" i="1" l="1"/>
  <c r="Q326" i="1" s="1"/>
  <c r="J327" i="1"/>
  <c r="J328" i="1" l="1"/>
  <c r="K327" i="1"/>
  <c r="Q327" i="1" s="1"/>
  <c r="K328" i="1" l="1"/>
  <c r="Q328" i="1" s="1"/>
  <c r="J329" i="1"/>
  <c r="K329" i="1" l="1"/>
  <c r="Q329" i="1" s="1"/>
  <c r="J330" i="1"/>
  <c r="J331" i="1" l="1"/>
  <c r="K330" i="1"/>
  <c r="Q330" i="1" s="1"/>
  <c r="K331" i="1" l="1"/>
  <c r="Q331" i="1" s="1"/>
  <c r="J332" i="1"/>
  <c r="J333" i="1" l="1"/>
  <c r="K332" i="1"/>
  <c r="Q332" i="1" s="1"/>
  <c r="K333" i="1" l="1"/>
  <c r="Q333" i="1" s="1"/>
  <c r="J334" i="1"/>
  <c r="J335" i="1" l="1"/>
  <c r="K334" i="1"/>
  <c r="Q334" i="1" s="1"/>
  <c r="J336" i="1" l="1"/>
  <c r="K335" i="1"/>
  <c r="Q335" i="1" s="1"/>
  <c r="J337" i="1" l="1"/>
  <c r="K336" i="1"/>
  <c r="Q336" i="1" s="1"/>
  <c r="K337" i="1" l="1"/>
  <c r="Q337" i="1" s="1"/>
  <c r="J338" i="1"/>
  <c r="K338" i="1" l="1"/>
  <c r="Q338" i="1" s="1"/>
  <c r="J339" i="1"/>
  <c r="K339" i="1" l="1"/>
  <c r="Q339" i="1" s="1"/>
  <c r="J340" i="1"/>
  <c r="K340" i="1" l="1"/>
  <c r="Q340" i="1" s="1"/>
  <c r="J341" i="1"/>
  <c r="J342" i="1" l="1"/>
  <c r="K341" i="1"/>
  <c r="Q341" i="1" s="1"/>
  <c r="J343" i="1" l="1"/>
  <c r="K342" i="1"/>
  <c r="Q342" i="1" s="1"/>
  <c r="J344" i="1" l="1"/>
  <c r="K343" i="1"/>
  <c r="Q343" i="1" s="1"/>
  <c r="J345" i="1" l="1"/>
  <c r="K344" i="1"/>
  <c r="Q344" i="1" s="1"/>
  <c r="J346" i="1" l="1"/>
  <c r="K345" i="1"/>
  <c r="Q345" i="1" s="1"/>
  <c r="J347" i="1" l="1"/>
  <c r="K346" i="1"/>
  <c r="Q346" i="1" s="1"/>
  <c r="J348" i="1" l="1"/>
  <c r="K347" i="1"/>
  <c r="Q347" i="1" s="1"/>
  <c r="J349" i="1" l="1"/>
  <c r="K348" i="1"/>
  <c r="Q348" i="1" s="1"/>
  <c r="K349" i="1" l="1"/>
  <c r="Q349" i="1" s="1"/>
  <c r="J350" i="1"/>
  <c r="K350" i="1" l="1"/>
  <c r="Q350" i="1" s="1"/>
  <c r="J351" i="1"/>
  <c r="K351" i="1" l="1"/>
  <c r="Q351" i="1" s="1"/>
  <c r="J352" i="1"/>
  <c r="K352" i="1" l="1"/>
  <c r="Q352" i="1" s="1"/>
  <c r="J353" i="1"/>
  <c r="K353" i="1" l="1"/>
  <c r="Q353" i="1" s="1"/>
  <c r="J354" i="1"/>
  <c r="J355" i="1" l="1"/>
  <c r="K354" i="1"/>
  <c r="Q354" i="1" s="1"/>
  <c r="K355" i="1" l="1"/>
  <c r="Q355" i="1" s="1"/>
  <c r="J356" i="1"/>
  <c r="J357" i="1" l="1"/>
  <c r="K356" i="1"/>
  <c r="Q356" i="1" s="1"/>
  <c r="J358" i="1" l="1"/>
  <c r="K357" i="1"/>
  <c r="Q357" i="1" s="1"/>
  <c r="J359" i="1" l="1"/>
  <c r="K358" i="1"/>
  <c r="Q358" i="1" s="1"/>
  <c r="K359" i="1" l="1"/>
  <c r="Q359" i="1" s="1"/>
  <c r="J360" i="1"/>
  <c r="J361" i="1" l="1"/>
  <c r="K360" i="1"/>
  <c r="Q360" i="1" s="1"/>
  <c r="K361" i="1" l="1"/>
  <c r="Q361" i="1" s="1"/>
  <c r="J362" i="1"/>
  <c r="K362" i="1" l="1"/>
  <c r="Q362" i="1" s="1"/>
  <c r="J363" i="1"/>
  <c r="K363" i="1" l="1"/>
  <c r="Q363" i="1" s="1"/>
  <c r="J364" i="1"/>
  <c r="K364" i="1" l="1"/>
  <c r="Q364" i="1" s="1"/>
  <c r="J365" i="1"/>
  <c r="K365" i="1" l="1"/>
  <c r="Q365" i="1" s="1"/>
  <c r="J366" i="1"/>
  <c r="J367" i="1" l="1"/>
  <c r="K366" i="1"/>
  <c r="Q366" i="1" s="1"/>
  <c r="K367" i="1" l="1"/>
  <c r="Q367" i="1" s="1"/>
  <c r="J368" i="1"/>
  <c r="J369" i="1" l="1"/>
  <c r="K368" i="1"/>
  <c r="Q368" i="1" s="1"/>
  <c r="J370" i="1" l="1"/>
  <c r="K369" i="1"/>
  <c r="Q369" i="1" s="1"/>
  <c r="J371" i="1" l="1"/>
  <c r="K370" i="1"/>
  <c r="Q370" i="1" s="1"/>
  <c r="J372" i="1" l="1"/>
  <c r="K371" i="1"/>
  <c r="Q371" i="1" s="1"/>
  <c r="J373" i="1" l="1"/>
  <c r="K372" i="1"/>
  <c r="Q372" i="1" s="1"/>
  <c r="K373" i="1" l="1"/>
  <c r="Q373" i="1" s="1"/>
  <c r="J374" i="1"/>
  <c r="K374" i="1" l="1"/>
  <c r="Q374" i="1" s="1"/>
  <c r="J375" i="1"/>
  <c r="K375" i="1" l="1"/>
  <c r="Q375" i="1" s="1"/>
  <c r="J376" i="1"/>
  <c r="K376" i="1" l="1"/>
  <c r="Q376" i="1" s="1"/>
  <c r="J377" i="1"/>
  <c r="J378" i="1" l="1"/>
  <c r="K377" i="1"/>
  <c r="Q377" i="1" s="1"/>
  <c r="J379" i="1" l="1"/>
  <c r="K378" i="1"/>
  <c r="Q378" i="1" s="1"/>
  <c r="K379" i="1" l="1"/>
  <c r="Q379" i="1" s="1"/>
  <c r="J380" i="1"/>
  <c r="J381" i="1" l="1"/>
  <c r="K380" i="1"/>
  <c r="Q380" i="1" s="1"/>
  <c r="J382" i="1" l="1"/>
  <c r="K381" i="1"/>
  <c r="Q381" i="1" s="1"/>
  <c r="J383" i="1" l="1"/>
  <c r="K382" i="1"/>
  <c r="Q382" i="1" s="1"/>
  <c r="J384" i="1" l="1"/>
  <c r="K383" i="1"/>
  <c r="Q383" i="1" s="1"/>
  <c r="K384" i="1" l="1"/>
  <c r="Q384" i="1" s="1"/>
  <c r="J385" i="1"/>
  <c r="J386" i="1" l="1"/>
  <c r="K385" i="1"/>
  <c r="Q385" i="1" s="1"/>
  <c r="K386" i="1" l="1"/>
  <c r="Q386" i="1" s="1"/>
  <c r="J387" i="1"/>
  <c r="K387" i="1" l="1"/>
  <c r="Q387" i="1" s="1"/>
  <c r="J388" i="1"/>
  <c r="K388" i="1" l="1"/>
  <c r="Q388" i="1" s="1"/>
  <c r="J389" i="1"/>
  <c r="K389" i="1" l="1"/>
  <c r="Q389" i="1" s="1"/>
  <c r="J390" i="1"/>
  <c r="K390" i="1" l="1"/>
  <c r="Q390" i="1" s="1"/>
  <c r="J391" i="1"/>
  <c r="J392" i="1" l="1"/>
  <c r="K391" i="1"/>
  <c r="Q391" i="1" s="1"/>
  <c r="J393" i="1" l="1"/>
  <c r="K392" i="1"/>
  <c r="Q392" i="1" s="1"/>
  <c r="J394" i="1" l="1"/>
  <c r="K393" i="1"/>
  <c r="Q393" i="1" s="1"/>
  <c r="J395" i="1" l="1"/>
  <c r="K394" i="1"/>
  <c r="Q394" i="1" s="1"/>
  <c r="J396" i="1" l="1"/>
  <c r="K395" i="1"/>
  <c r="Q395" i="1" s="1"/>
  <c r="J397" i="1" l="1"/>
  <c r="K396" i="1"/>
  <c r="Q396" i="1" s="1"/>
  <c r="J398" i="1" l="1"/>
  <c r="K397" i="1"/>
  <c r="Q397" i="1" s="1"/>
  <c r="K398" i="1" l="1"/>
  <c r="Q398" i="1" s="1"/>
  <c r="J399" i="1"/>
  <c r="K399" i="1" l="1"/>
  <c r="Q399" i="1" s="1"/>
  <c r="J400" i="1"/>
  <c r="K400" i="1" l="1"/>
  <c r="Q400" i="1" s="1"/>
  <c r="J401" i="1"/>
  <c r="K401" i="1" l="1"/>
  <c r="Q401" i="1" s="1"/>
  <c r="J402" i="1"/>
  <c r="K402" i="1" l="1"/>
  <c r="Q402" i="1" s="1"/>
  <c r="J403" i="1"/>
  <c r="J404" i="1" l="1"/>
  <c r="K403" i="1"/>
  <c r="Q403" i="1" s="1"/>
  <c r="J405" i="1" l="1"/>
  <c r="K404" i="1"/>
  <c r="Q404" i="1" s="1"/>
  <c r="J406" i="1" l="1"/>
  <c r="K405" i="1"/>
  <c r="Q405" i="1" s="1"/>
  <c r="J407" i="1" l="1"/>
  <c r="K406" i="1"/>
  <c r="Q406" i="1" s="1"/>
  <c r="K407" i="1" l="1"/>
  <c r="Q407" i="1" s="1"/>
  <c r="J408" i="1"/>
  <c r="J409" i="1" l="1"/>
  <c r="K408" i="1"/>
  <c r="Q408" i="1" s="1"/>
  <c r="K409" i="1" l="1"/>
  <c r="Q409" i="1" s="1"/>
  <c r="J410" i="1"/>
  <c r="K410" i="1" l="1"/>
  <c r="Q410" i="1" s="1"/>
  <c r="J411" i="1"/>
  <c r="K411" i="1" l="1"/>
  <c r="Q411" i="1" s="1"/>
  <c r="J412" i="1"/>
  <c r="K412" i="1" l="1"/>
  <c r="Q412" i="1" s="1"/>
  <c r="J413" i="1"/>
  <c r="J414" i="1" l="1"/>
  <c r="K413" i="1"/>
  <c r="Q413" i="1" s="1"/>
  <c r="J415" i="1" l="1"/>
  <c r="K414" i="1"/>
  <c r="Q414" i="1" s="1"/>
  <c r="K415" i="1" l="1"/>
  <c r="Q415" i="1" s="1"/>
  <c r="J416" i="1"/>
  <c r="J417" i="1" l="1"/>
  <c r="K416" i="1"/>
  <c r="Q416" i="1" s="1"/>
  <c r="J418" i="1" l="1"/>
  <c r="K417" i="1"/>
  <c r="Q417" i="1" s="1"/>
  <c r="J419" i="1" l="1"/>
  <c r="K418" i="1"/>
  <c r="Q418" i="1" s="1"/>
  <c r="J420" i="1" l="1"/>
  <c r="K419" i="1"/>
  <c r="Q419" i="1" s="1"/>
  <c r="K420" i="1" l="1"/>
  <c r="Q420" i="1" s="1"/>
  <c r="J421" i="1"/>
  <c r="K421" i="1" l="1"/>
  <c r="Q421" i="1" s="1"/>
  <c r="J422" i="1"/>
  <c r="K422" i="1" l="1"/>
  <c r="Q422" i="1" s="1"/>
  <c r="J423" i="1"/>
  <c r="K423" i="1" l="1"/>
  <c r="Q423" i="1" s="1"/>
  <c r="J424" i="1"/>
  <c r="K424" i="1" l="1"/>
  <c r="Q424" i="1" s="1"/>
  <c r="J425" i="1"/>
  <c r="J426" i="1" l="1"/>
  <c r="K425" i="1"/>
  <c r="Q425" i="1" s="1"/>
  <c r="K426" i="1" l="1"/>
  <c r="Q426" i="1" s="1"/>
  <c r="J427" i="1"/>
  <c r="J428" i="1" l="1"/>
  <c r="K427" i="1"/>
  <c r="Q427" i="1" s="1"/>
  <c r="J429" i="1" l="1"/>
  <c r="K428" i="1"/>
  <c r="Q428" i="1" s="1"/>
  <c r="J430" i="1" l="1"/>
  <c r="K429" i="1"/>
  <c r="Q429" i="1" s="1"/>
  <c r="J431" i="1" l="1"/>
  <c r="K430" i="1"/>
  <c r="Q430" i="1" s="1"/>
  <c r="J432" i="1" l="1"/>
  <c r="K431" i="1"/>
  <c r="Q431" i="1" s="1"/>
  <c r="K432" i="1" l="1"/>
  <c r="Q432" i="1" s="1"/>
  <c r="J433" i="1"/>
  <c r="J434" i="1" l="1"/>
  <c r="K433" i="1"/>
  <c r="Q433" i="1" s="1"/>
  <c r="K434" i="1" l="1"/>
  <c r="Q434" i="1" s="1"/>
  <c r="J435" i="1"/>
  <c r="K435" i="1" l="1"/>
  <c r="Q435" i="1" s="1"/>
  <c r="J436" i="1"/>
  <c r="K436" i="1" l="1"/>
  <c r="Q436" i="1" s="1"/>
  <c r="J437" i="1"/>
  <c r="J438" i="1" l="1"/>
  <c r="K437" i="1"/>
  <c r="Q437" i="1" s="1"/>
  <c r="K438" i="1" l="1"/>
  <c r="Q438" i="1" s="1"/>
  <c r="J439" i="1"/>
  <c r="J440" i="1" l="1"/>
  <c r="K439" i="1"/>
  <c r="Q439" i="1" s="1"/>
  <c r="J441" i="1" l="1"/>
  <c r="K440" i="1"/>
  <c r="Q440" i="1" s="1"/>
  <c r="J442" i="1" l="1"/>
  <c r="K441" i="1"/>
  <c r="Q441" i="1" s="1"/>
  <c r="J443" i="1" l="1"/>
  <c r="K442" i="1"/>
  <c r="Q442" i="1" s="1"/>
  <c r="K443" i="1" l="1"/>
  <c r="Q443" i="1" s="1"/>
  <c r="J444" i="1"/>
  <c r="J445" i="1" l="1"/>
  <c r="K444" i="1"/>
  <c r="Q444" i="1" s="1"/>
  <c r="K445" i="1" l="1"/>
  <c r="Q445" i="1" s="1"/>
  <c r="J446" i="1"/>
  <c r="K446" i="1" l="1"/>
  <c r="Q446" i="1" s="1"/>
  <c r="J447" i="1"/>
  <c r="K447" i="1" l="1"/>
  <c r="Q447" i="1" s="1"/>
  <c r="J448" i="1"/>
  <c r="K448" i="1" l="1"/>
  <c r="Q448" i="1" s="1"/>
  <c r="J449" i="1"/>
  <c r="K449" i="1" l="1"/>
  <c r="Q449" i="1" s="1"/>
  <c r="J450" i="1"/>
  <c r="J451" i="1" l="1"/>
  <c r="K450" i="1"/>
  <c r="Q450" i="1" s="1"/>
  <c r="K451" i="1" l="1"/>
  <c r="Q451" i="1" s="1"/>
  <c r="J452" i="1"/>
  <c r="J453" i="1" l="1"/>
  <c r="K452" i="1"/>
  <c r="Q452" i="1" s="1"/>
  <c r="J454" i="1" l="1"/>
  <c r="K453" i="1"/>
  <c r="Q453" i="1" s="1"/>
  <c r="J455" i="1" l="1"/>
  <c r="K454" i="1"/>
  <c r="Q454" i="1" s="1"/>
  <c r="K455" i="1" l="1"/>
  <c r="Q455" i="1" s="1"/>
  <c r="J456" i="1"/>
  <c r="K456" i="1" l="1"/>
  <c r="Q456" i="1" s="1"/>
  <c r="J457" i="1"/>
  <c r="K457" i="1" l="1"/>
  <c r="Q457" i="1" s="1"/>
  <c r="J458" i="1"/>
  <c r="K458" i="1" l="1"/>
  <c r="Q458" i="1" s="1"/>
  <c r="J459" i="1"/>
  <c r="K459" i="1" l="1"/>
  <c r="Q459" i="1" s="1"/>
  <c r="J460" i="1"/>
  <c r="K460" i="1" l="1"/>
  <c r="Q460" i="1" s="1"/>
  <c r="J461" i="1"/>
  <c r="K461" i="1" l="1"/>
  <c r="Q461" i="1" s="1"/>
  <c r="J462" i="1"/>
  <c r="J463" i="1" l="1"/>
  <c r="K462" i="1"/>
  <c r="Q462" i="1" s="1"/>
  <c r="K463" i="1" l="1"/>
  <c r="Q463" i="1" s="1"/>
  <c r="J464" i="1"/>
  <c r="J465" i="1" l="1"/>
  <c r="K464" i="1"/>
  <c r="Q464" i="1" s="1"/>
  <c r="J466" i="1" l="1"/>
  <c r="K465" i="1"/>
  <c r="Q465" i="1" s="1"/>
  <c r="J467" i="1" l="1"/>
  <c r="K466" i="1"/>
  <c r="Q466" i="1" s="1"/>
  <c r="J468" i="1" l="1"/>
  <c r="K467" i="1"/>
  <c r="Q467" i="1" s="1"/>
  <c r="K468" i="1" l="1"/>
  <c r="Q468" i="1" s="1"/>
  <c r="J469" i="1"/>
  <c r="J470" i="1" l="1"/>
  <c r="K469" i="1"/>
  <c r="Q469" i="1" s="1"/>
  <c r="K470" i="1" l="1"/>
  <c r="Q470" i="1" s="1"/>
  <c r="J471" i="1"/>
  <c r="K471" i="1" l="1"/>
  <c r="Q471" i="1" s="1"/>
  <c r="J472" i="1"/>
  <c r="K472" i="1" l="1"/>
  <c r="Q472" i="1" s="1"/>
  <c r="J473" i="1"/>
  <c r="J474" i="1" l="1"/>
  <c r="K473" i="1"/>
  <c r="Q473" i="1" s="1"/>
  <c r="K474" i="1" l="1"/>
  <c r="Q474" i="1" s="1"/>
  <c r="J475" i="1"/>
  <c r="J476" i="1" l="1"/>
  <c r="K475" i="1"/>
  <c r="Q475" i="1" s="1"/>
  <c r="J477" i="1" l="1"/>
  <c r="K476" i="1"/>
  <c r="Q476" i="1" s="1"/>
  <c r="J478" i="1" l="1"/>
  <c r="K477" i="1"/>
  <c r="Q477" i="1" s="1"/>
  <c r="J479" i="1" l="1"/>
  <c r="K478" i="1"/>
  <c r="Q478" i="1" s="1"/>
  <c r="J480" i="1" l="1"/>
  <c r="K479" i="1"/>
  <c r="Q479" i="1" s="1"/>
  <c r="K480" i="1" l="1"/>
  <c r="Q480" i="1" s="1"/>
  <c r="J481" i="1"/>
  <c r="J482" i="1" l="1"/>
  <c r="K481" i="1"/>
  <c r="Q481" i="1" s="1"/>
  <c r="K482" i="1" l="1"/>
  <c r="Q482" i="1" s="1"/>
  <c r="J483" i="1"/>
  <c r="K483" i="1" l="1"/>
  <c r="Q483" i="1" s="1"/>
  <c r="J484" i="1"/>
  <c r="K484" i="1" l="1"/>
  <c r="Q484" i="1" s="1"/>
  <c r="J485" i="1"/>
  <c r="J486" i="1" l="1"/>
  <c r="K485" i="1"/>
  <c r="Q485" i="1" s="1"/>
  <c r="K486" i="1" l="1"/>
  <c r="Q486" i="1" s="1"/>
  <c r="J487" i="1"/>
  <c r="J488" i="1" l="1"/>
  <c r="K487" i="1"/>
  <c r="Q487" i="1" s="1"/>
  <c r="J489" i="1" l="1"/>
  <c r="K488" i="1"/>
  <c r="Q488" i="1" s="1"/>
  <c r="J490" i="1" l="1"/>
  <c r="K489" i="1"/>
  <c r="Q489" i="1" s="1"/>
  <c r="J491" i="1" l="1"/>
  <c r="K490" i="1"/>
  <c r="Q490" i="1" s="1"/>
  <c r="J492" i="1" l="1"/>
  <c r="K491" i="1"/>
  <c r="Q491" i="1" s="1"/>
  <c r="J493" i="1" l="1"/>
  <c r="K492" i="1"/>
  <c r="Q492" i="1" s="1"/>
  <c r="J494" i="1" l="1"/>
  <c r="K493" i="1"/>
  <c r="Q493" i="1" s="1"/>
  <c r="K494" i="1" l="1"/>
  <c r="Q494" i="1" s="1"/>
  <c r="J495" i="1"/>
  <c r="K495" i="1" l="1"/>
  <c r="Q495" i="1" s="1"/>
  <c r="J496" i="1"/>
  <c r="K496" i="1" l="1"/>
  <c r="Q496" i="1" s="1"/>
  <c r="J497" i="1"/>
  <c r="K497" i="1" l="1"/>
  <c r="Q497" i="1" s="1"/>
  <c r="J498" i="1"/>
  <c r="K498" i="1" l="1"/>
  <c r="Q498" i="1" s="1"/>
  <c r="J499" i="1"/>
  <c r="J500" i="1" l="1"/>
  <c r="K499" i="1"/>
  <c r="Q499" i="1" s="1"/>
  <c r="J501" i="1" l="1"/>
  <c r="K501" i="1" s="1"/>
  <c r="Q501" i="1" s="1"/>
  <c r="K500" i="1"/>
  <c r="Q500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<sst xmlns="http://schemas.openxmlformats.org/spreadsheetml/2006/main" count="26" uniqueCount="26">
  <si>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SKU</t>
  </si>
  <si>
    <t>Demand</t>
  </si>
  <si>
    <t>Unit Cost</t>
  </si>
  <si>
    <t xml:space="preserve">Lead Time </t>
  </si>
  <si>
    <t>Category</t>
  </si>
  <si>
    <t xml:space="preserve">Ordering Cost </t>
  </si>
  <si>
    <t>Holding Cost</t>
  </si>
  <si>
    <t>Consumption Value</t>
  </si>
  <si>
    <t>Cumulative Value</t>
  </si>
  <si>
    <t>Cumulative %</t>
  </si>
  <si>
    <t>Total Consumption</t>
  </si>
  <si>
    <t>Daily Demand</t>
  </si>
  <si>
    <t>ROP</t>
  </si>
  <si>
    <t>ABC Category</t>
  </si>
  <si>
    <t>Average Inventory</t>
  </si>
  <si>
    <t>Inventory Turnover</t>
  </si>
  <si>
    <t>Ordering Cost Total</t>
  </si>
  <si>
    <t>Holding Cost Total</t>
  </si>
  <si>
    <t>Total Inventory Cost</t>
  </si>
  <si>
    <t xml:space="preserve">EOQ </t>
  </si>
  <si>
    <t>Current Stock</t>
  </si>
  <si>
    <t>ROP Alert</t>
  </si>
  <si>
    <t>Demand Surge(30%)</t>
  </si>
  <si>
    <t>EOQ Demand Surge</t>
  </si>
  <si>
    <t>Lead Time Delay</t>
  </si>
  <si>
    <t>ROP Lead Time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</si>
</sst>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10" fontId="1" fillId="0" borderId="0" xfId="0" applyNumberFormat="1" applyFont="1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8210-5C47-45BC-9DCD-525CB1AFF5FC}">
  <dimension ref="A1:AZ501"/>
  <sheetViews>
    <sheetView tabSelected="1" topLeftCell="U1" workbookViewId="0">
      <selection activeCell="AL2" sqref="AL2"/>
    </sheetView>
  </sheetViews>
  <sheetFormatPr defaultRowHeight="14.4" x14ac:dyDescent="0.3"/>
  <cols>
    <col min="3" max="3" width="17.77734375" customWidth="1"/>
    <col min="5" max="5" width="9.88671875" customWidth="1"/>
    <col min="6" max="6" width="10.33203125" customWidth="1"/>
    <col min="7" max="7" width="12.6640625" customWidth="1"/>
    <col min="8" max="8" width="12" customWidth="1"/>
    <col min="9" max="9" width="17.5546875" style="3" customWidth="1"/>
    <col min="10" max="10" width="15.6640625" style="3" customWidth="1"/>
    <col min="11" max="11" width="13.21875" customWidth="1"/>
    <col min="12" max="12" width="16.88671875" style="3" customWidth="1"/>
    <col min="13" max="13" width="12.21875" customWidth="1"/>
    <col min="14" max="14" width="17.5546875" customWidth="1"/>
    <col min="15" max="15" width="13.109375" customWidth="1"/>
    <col min="17" max="17" width="12.33203125" customWidth="1"/>
    <col min="18" max="18" width="16.5546875" customWidth="1"/>
    <col min="19" max="19" width="17.44140625" customWidth="1"/>
    <col min="20" max="20" width="16.77734375" customWidth="1"/>
    <col min="21" max="21" width="16.6640625" customWidth="1"/>
    <col min="22" max="22" width="18.109375" customWidth="1"/>
    <col min="23" max="23" width="12.6640625" customWidth="1"/>
    <col min="25" max="25" width="14.88671875" customWidth="1"/>
    <col min="26" max="26" width="18" customWidth="1"/>
  </cols>
  <sheetData>
    <row r="1" spans="1:52" x14ac:dyDescent="0.3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5" t="s">
        <v>19</v>
      </c>
      <c r="N1" s="5" t="s">
        <v>23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20</v>
      </c>
      <c r="X1" s="5" t="s">
        <v>21</v>
      </c>
      <c r="Y1" s="5" t="s">
        <v>24</v>
      </c>
      <c r="Z1" s="5" t="s">
        <v>25</v>
      </c>
    </row>
    <row r="2" spans="1:52" x14ac:dyDescent="0.3">
      <c r="A2" s="3" t="str">
        <f t="shared" ref="A2:A65" si="0">"SKU" &amp; TEXT(ROW()-1, "000")</f>
        <v>SKU001</v>
      </c>
      <c r="B2" s="3">
        <v>1995</v>
      </c>
      <c r="C2" s="3">
        <f>B2 * 1.3</f>
        <v>2593.5</v>
      </c>
      <c r="D2" s="3">
        <v>95.75</v>
      </c>
      <c r="E2" s="3">
        <v>21</v>
      </c>
      <c r="F2" s="3" t="str" cm="1">
        <f t="array" aca="1" ref="F2" ca="1">INDEX({"Electronics","Clothing","Food","Furniture"}, RANDBETWEEN(1,4))</f>
        <v>Clothing</v>
      </c>
      <c r="G2" s="3">
        <v>50</v>
      </c>
      <c r="H2" s="3">
        <v>2</v>
      </c>
      <c r="I2" s="3">
        <f t="shared" ref="I2:I65" si="1">B2*D2</f>
        <v>191021.25</v>
      </c>
      <c r="J2" s="3">
        <f>I2</f>
        <v>191021.25</v>
      </c>
      <c r="K2" s="4">
        <f>J2/$L$2</f>
        <v>6.554392757929392E-3</v>
      </c>
      <c r="L2" s="3">
        <f>SUM(I2:I501)</f>
        <v>29144004.19000002</v>
      </c>
      <c r="M2" s="6">
        <f>SQRT((2 * B2 * G2) / H2)</f>
        <v>315.83223394707511</v>
      </c>
      <c r="N2" s="6">
        <f>SQRT((2 * C2 * G2) / H2)</f>
        <v>360.10415160061677</v>
      </c>
      <c r="O2" s="6">
        <f>B2 / 365</f>
        <v>5.4657534246575343</v>
      </c>
      <c r="P2" s="6">
        <f>E2*O2</f>
        <v>114.78082191780823</v>
      </c>
      <c r="Q2" t="str">
        <f>IF(K2 &lt;= 0.8, "A", IF(K2 &lt;= 0.95, "B", "C"))</f>
        <v>A</v>
      </c>
      <c r="R2" s="6">
        <f>M2/2</f>
        <v>157.91611697353756</v>
      </c>
      <c r="S2" s="6">
        <f>B2/R2</f>
        <v>12.633289357883006</v>
      </c>
      <c r="T2" s="6">
        <f>(B2/M2)*G2</f>
        <v>315.83223394707517</v>
      </c>
      <c r="U2" s="6">
        <f>R2/H2</f>
        <v>78.958058486768778</v>
      </c>
      <c r="V2" s="6">
        <f>T2+U2</f>
        <v>394.79029243384394</v>
      </c>
      <c r="W2">
        <v>73</v>
      </c>
      <c r="X2" t="str">
        <f>IF(W2 &lt; P2, "ALERT", "OK")</f>
        <v>ALERT</v>
      </c>
      <c r="Y2" s="6">
        <f>E2 + 5</f>
        <v>26</v>
      </c>
      <c r="Z2" s="6">
        <f>ROUND(Y2, 0) * ROUND(O2, 0)</f>
        <v>130</v>
      </c>
    </row>
    <row r="3" spans="1:52" x14ac:dyDescent="0.3">
      <c r="A3" s="3" t="str">
        <f t="shared" si="0"/>
        <v>SKU002</v>
      </c>
      <c r="B3" s="3">
        <v>1921</v>
      </c>
      <c r="C3" s="3">
        <f t="shared" ref="C3:C66" si="2">B3 * 1.3</f>
        <v>2497.3000000000002</v>
      </c>
      <c r="D3" s="3">
        <v>93.17</v>
      </c>
      <c r="E3" s="3">
        <v>4</v>
      </c>
      <c r="F3" s="3" t="str" cm="1">
        <f t="array" aca="1" ref="F3" ca="1">INDEX({"Electronics","Clothing","Food","Furniture"}, RANDBETWEEN(1,4))</f>
        <v>Food</v>
      </c>
      <c r="G3" s="3">
        <v>50</v>
      </c>
      <c r="H3" s="3">
        <v>2</v>
      </c>
      <c r="I3" s="3">
        <f t="shared" si="1"/>
        <v>178979.57</v>
      </c>
      <c r="J3" s="3">
        <f>SUM(J2+I3)</f>
        <v>370000.82</v>
      </c>
      <c r="K3" s="4">
        <f t="shared" ref="K3:K66" si="3">J3/$L$2</f>
        <v>1.2695606876386458E-2</v>
      </c>
      <c r="M3" s="6">
        <f t="shared" ref="M3:M66" si="4">SQRT((2 * B3 * G3) / H3)</f>
        <v>309.91934434623471</v>
      </c>
      <c r="N3" s="6">
        <f t="shared" ref="N3:N66" si="5">SQRT((2 * C3 * G3) / H3)</f>
        <v>353.36242018641428</v>
      </c>
      <c r="O3" s="6">
        <f t="shared" ref="O3:O66" si="6">B3 / 365</f>
        <v>5.2630136986301368</v>
      </c>
      <c r="P3" s="6">
        <f t="shared" ref="P3:P66" si="7">E3*O3</f>
        <v>21.052054794520547</v>
      </c>
      <c r="Q3" t="str">
        <f t="shared" ref="Q3:Q66" si="8">IF(K3 &lt;= 0.8, "A", IF(K3 &lt;= 0.95, "B", "C"))</f>
        <v>A</v>
      </c>
      <c r="R3" s="6">
        <f t="shared" ref="R3:R66" si="9">M3/2</f>
        <v>154.95967217311735</v>
      </c>
      <c r="S3" s="6">
        <f t="shared" ref="S3:S66" si="10">B3/R3</f>
        <v>12.396773773849388</v>
      </c>
      <c r="T3" s="6">
        <f t="shared" ref="T3:T66" si="11">(B3/M3)*G3</f>
        <v>309.91934434623471</v>
      </c>
      <c r="U3" s="6">
        <f t="shared" ref="U3:U66" si="12">R3/H3</f>
        <v>77.479836086558677</v>
      </c>
      <c r="V3" s="6">
        <f t="shared" ref="V3:V66" si="13">T3+U3</f>
        <v>387.3991804327934</v>
      </c>
      <c r="W3">
        <v>35</v>
      </c>
      <c r="X3" t="str">
        <f t="shared" ref="X3:X66" si="14">IF(W3 &lt; P3, "ALERT", "OK")</f>
        <v>OK</v>
      </c>
      <c r="Y3" s="6">
        <f t="shared" ref="Y3:Y66" si="15">E3 + 5</f>
        <v>9</v>
      </c>
      <c r="Z3" s="6">
        <f t="shared" ref="Z3:Z66" si="16">ROUND(Y3, 0) * ROUND(O3, 0)</f>
        <v>45</v>
      </c>
      <c r="AA3" s="1"/>
      <c r="AB3" s="5"/>
      <c r="AC3" s="5"/>
      <c r="AD3" s="5"/>
    </row>
    <row r="4" spans="1:52" x14ac:dyDescent="0.3">
      <c r="A4" s="3" t="str">
        <f t="shared" si="0"/>
        <v>SKU003</v>
      </c>
      <c r="B4" s="3">
        <v>1847</v>
      </c>
      <c r="C4" s="3">
        <f t="shared" si="2"/>
        <v>2401.1</v>
      </c>
      <c r="D4" s="3">
        <v>96.77</v>
      </c>
      <c r="E4" s="3">
        <v>16</v>
      </c>
      <c r="F4" s="3" t="str" cm="1">
        <f t="array" aca="1" ref="F4" ca="1">INDEX({"Electronics","Clothing","Food","Furniture"}, RANDBETWEEN(1,4))</f>
        <v>Electronics</v>
      </c>
      <c r="G4" s="3">
        <v>50</v>
      </c>
      <c r="H4" s="3">
        <v>2</v>
      </c>
      <c r="I4" s="3">
        <f t="shared" si="1"/>
        <v>178734.19</v>
      </c>
      <c r="J4" s="3">
        <f t="shared" ref="J4:J67" si="17">SUM(J3+I4)</f>
        <v>548735.01</v>
      </c>
      <c r="K4" s="4">
        <f t="shared" si="3"/>
        <v>1.8828401424272497E-2</v>
      </c>
      <c r="M4" s="6">
        <f t="shared" si="4"/>
        <v>303.89142798045486</v>
      </c>
      <c r="N4" s="6">
        <f t="shared" si="5"/>
        <v>346.48953808159922</v>
      </c>
      <c r="O4" s="6">
        <f t="shared" si="6"/>
        <v>5.0602739726027401</v>
      </c>
      <c r="P4" s="6">
        <f t="shared" si="7"/>
        <v>80.964383561643842</v>
      </c>
      <c r="Q4" t="str">
        <f t="shared" si="8"/>
        <v>A</v>
      </c>
      <c r="R4" s="6">
        <f t="shared" si="9"/>
        <v>151.94571399022743</v>
      </c>
      <c r="S4" s="6">
        <f t="shared" si="10"/>
        <v>12.155657119218196</v>
      </c>
      <c r="T4" s="6">
        <f t="shared" si="11"/>
        <v>303.89142798045492</v>
      </c>
      <c r="U4" s="6">
        <f t="shared" si="12"/>
        <v>75.972856995113716</v>
      </c>
      <c r="V4" s="6">
        <f t="shared" si="13"/>
        <v>379.86428497556864</v>
      </c>
      <c r="W4">
        <v>119</v>
      </c>
      <c r="X4" t="str">
        <f t="shared" si="14"/>
        <v>OK</v>
      </c>
      <c r="Y4" s="6">
        <f t="shared" si="15"/>
        <v>21</v>
      </c>
      <c r="Z4" s="6">
        <f t="shared" si="16"/>
        <v>105</v>
      </c>
      <c r="AA4" s="1"/>
      <c r="AB4" s="1"/>
      <c r="AC4" s="1"/>
      <c r="AD4" s="1"/>
      <c r="AE4" s="1"/>
      <c r="AF4" s="1"/>
      <c r="AG4" s="1"/>
      <c r="AH4" s="2"/>
      <c r="AI4" s="1"/>
      <c r="AJ4" s="5"/>
      <c r="AK4" s="5"/>
      <c r="AL4" s="5"/>
      <c r="AM4" s="5"/>
      <c r="AN4" s="5"/>
      <c r="AO4" s="5"/>
      <c r="AP4" s="5"/>
      <c r="AQ4" s="5"/>
      <c r="AR4" s="5"/>
    </row>
    <row r="5" spans="1:52" x14ac:dyDescent="0.3">
      <c r="A5" s="3" t="str">
        <f t="shared" si="0"/>
        <v>SKU004</v>
      </c>
      <c r="B5" s="3">
        <v>1836</v>
      </c>
      <c r="C5" s="3">
        <f t="shared" si="2"/>
        <v>2386.8000000000002</v>
      </c>
      <c r="D5" s="3">
        <v>96.7</v>
      </c>
      <c r="E5" s="3">
        <v>3</v>
      </c>
      <c r="F5" s="3" t="str" cm="1">
        <f t="array" aca="1" ref="F5" ca="1">INDEX({"Electronics","Clothing","Food","Furniture"}, RANDBETWEEN(1,4))</f>
        <v>Food</v>
      </c>
      <c r="G5" s="3">
        <v>50</v>
      </c>
      <c r="H5" s="3">
        <v>2</v>
      </c>
      <c r="I5" s="3">
        <f t="shared" si="1"/>
        <v>177541.2</v>
      </c>
      <c r="J5" s="3">
        <f t="shared" si="17"/>
        <v>726276.21</v>
      </c>
      <c r="K5" s="4">
        <f t="shared" si="3"/>
        <v>2.4920261651938759E-2</v>
      </c>
      <c r="M5" s="6">
        <f t="shared" si="4"/>
        <v>302.98514815086236</v>
      </c>
      <c r="N5" s="6">
        <f t="shared" si="5"/>
        <v>345.4562200916348</v>
      </c>
      <c r="O5" s="6">
        <f t="shared" si="6"/>
        <v>5.0301369863013701</v>
      </c>
      <c r="P5" s="6">
        <f t="shared" si="7"/>
        <v>15.09041095890411</v>
      </c>
      <c r="Q5" t="str">
        <f t="shared" si="8"/>
        <v>A</v>
      </c>
      <c r="R5" s="6">
        <f t="shared" si="9"/>
        <v>151.49257407543118</v>
      </c>
      <c r="S5" s="6">
        <f t="shared" si="10"/>
        <v>12.119405926034492</v>
      </c>
      <c r="T5" s="6">
        <f t="shared" si="11"/>
        <v>302.9851481508623</v>
      </c>
      <c r="U5" s="6">
        <f t="shared" si="12"/>
        <v>75.746287037715589</v>
      </c>
      <c r="V5" s="6">
        <f t="shared" si="13"/>
        <v>378.7314351885779</v>
      </c>
      <c r="W5">
        <v>4</v>
      </c>
      <c r="X5" t="str">
        <f t="shared" si="14"/>
        <v>ALERT</v>
      </c>
      <c r="Y5" s="6">
        <f t="shared" si="15"/>
        <v>8</v>
      </c>
      <c r="Z5" s="6">
        <f t="shared" si="16"/>
        <v>40</v>
      </c>
      <c r="AA5" s="3"/>
      <c r="AB5" s="3"/>
      <c r="AC5" s="3"/>
      <c r="AD5" s="3"/>
      <c r="AE5" s="3"/>
      <c r="AF5" s="3"/>
      <c r="AG5" s="3"/>
      <c r="AH5" s="4"/>
      <c r="AI5" s="3"/>
      <c r="AJ5" s="6"/>
      <c r="AK5" s="6"/>
      <c r="AL5" s="6"/>
      <c r="AN5" s="6"/>
      <c r="AO5" s="6"/>
      <c r="AP5" s="6"/>
      <c r="AQ5" s="6"/>
      <c r="AR5" s="3"/>
    </row>
    <row r="6" spans="1:52" x14ac:dyDescent="0.3">
      <c r="A6" s="3" t="str">
        <f t="shared" si="0"/>
        <v>SKU005</v>
      </c>
      <c r="B6" s="3">
        <v>1790</v>
      </c>
      <c r="C6" s="3">
        <f t="shared" si="2"/>
        <v>2327</v>
      </c>
      <c r="D6" s="3">
        <v>97.37</v>
      </c>
      <c r="E6" s="3">
        <v>11</v>
      </c>
      <c r="F6" s="3" t="str" cm="1">
        <f t="array" aca="1" ref="F6" ca="1">INDEX({"Electronics","Clothing","Food","Furniture"}, RANDBETWEEN(1,4))</f>
        <v>Electronics</v>
      </c>
      <c r="G6" s="3">
        <v>50</v>
      </c>
      <c r="H6" s="3">
        <v>2</v>
      </c>
      <c r="I6" s="3">
        <f t="shared" si="1"/>
        <v>174292.30000000002</v>
      </c>
      <c r="J6" s="3">
        <f t="shared" si="17"/>
        <v>900568.51</v>
      </c>
      <c r="K6" s="4">
        <f t="shared" si="3"/>
        <v>3.0900644404553229E-2</v>
      </c>
      <c r="M6" s="6">
        <f t="shared" si="4"/>
        <v>299.16550603303182</v>
      </c>
      <c r="N6" s="6">
        <f t="shared" si="5"/>
        <v>341.10115801621077</v>
      </c>
      <c r="O6" s="6">
        <f t="shared" si="6"/>
        <v>4.904109589041096</v>
      </c>
      <c r="P6" s="6">
        <f t="shared" si="7"/>
        <v>53.945205479452056</v>
      </c>
      <c r="Q6" t="str">
        <f t="shared" si="8"/>
        <v>A</v>
      </c>
      <c r="R6" s="6">
        <f t="shared" si="9"/>
        <v>149.58275301651591</v>
      </c>
      <c r="S6" s="6">
        <f t="shared" si="10"/>
        <v>11.966620241321273</v>
      </c>
      <c r="T6" s="6">
        <f t="shared" si="11"/>
        <v>299.16550603303182</v>
      </c>
      <c r="U6" s="6">
        <f t="shared" si="12"/>
        <v>74.791376508257954</v>
      </c>
      <c r="V6" s="6">
        <f t="shared" si="13"/>
        <v>373.95688254128976</v>
      </c>
      <c r="W6">
        <v>83</v>
      </c>
      <c r="X6" t="str">
        <f t="shared" si="14"/>
        <v>OK</v>
      </c>
      <c r="Y6" s="6">
        <f t="shared" si="15"/>
        <v>16</v>
      </c>
      <c r="Z6" s="6">
        <f t="shared" si="16"/>
        <v>80</v>
      </c>
      <c r="AA6" s="3"/>
      <c r="AB6" s="3"/>
      <c r="AC6" s="3"/>
      <c r="AD6" s="3"/>
      <c r="AE6" s="3"/>
      <c r="AF6" s="3"/>
      <c r="AG6" s="3"/>
      <c r="AH6" s="4"/>
      <c r="AI6" s="3"/>
      <c r="AJ6" s="6"/>
      <c r="AK6" s="6"/>
      <c r="AL6" s="6"/>
      <c r="AN6" s="6"/>
      <c r="AO6" s="6"/>
      <c r="AP6" s="6"/>
      <c r="AQ6" s="6"/>
      <c r="AR6" s="3"/>
    </row>
    <row r="7" spans="1:52" x14ac:dyDescent="0.3">
      <c r="A7" s="3" t="str">
        <f t="shared" si="0"/>
        <v>SKU006</v>
      </c>
      <c r="B7" s="3">
        <v>1795</v>
      </c>
      <c r="C7" s="3">
        <f t="shared" si="2"/>
        <v>2333.5</v>
      </c>
      <c r="D7" s="3">
        <v>94.95</v>
      </c>
      <c r="E7" s="3">
        <v>18</v>
      </c>
      <c r="F7" s="3" t="str" cm="1">
        <f t="array" aca="1" ref="F7" ca="1">INDEX({"Electronics","Clothing","Food","Furniture"}, RANDBETWEEN(1,4))</f>
        <v>Food</v>
      </c>
      <c r="G7" s="3">
        <v>50</v>
      </c>
      <c r="H7" s="3">
        <v>2</v>
      </c>
      <c r="I7" s="3">
        <f t="shared" si="1"/>
        <v>170435.25</v>
      </c>
      <c r="J7" s="3">
        <f t="shared" si="17"/>
        <v>1071003.76</v>
      </c>
      <c r="K7" s="4">
        <f t="shared" si="3"/>
        <v>3.6748682611275701E-2</v>
      </c>
      <c r="M7" s="6">
        <f t="shared" si="4"/>
        <v>299.58304357890484</v>
      </c>
      <c r="N7" s="6">
        <f t="shared" si="5"/>
        <v>341.57722406507139</v>
      </c>
      <c r="O7" s="6">
        <f t="shared" si="6"/>
        <v>4.9178082191780819</v>
      </c>
      <c r="P7" s="6">
        <f t="shared" si="7"/>
        <v>88.520547945205479</v>
      </c>
      <c r="Q7" t="str">
        <f t="shared" si="8"/>
        <v>A</v>
      </c>
      <c r="R7" s="6">
        <f t="shared" si="9"/>
        <v>149.79152178945242</v>
      </c>
      <c r="S7" s="6">
        <f t="shared" si="10"/>
        <v>11.983321743156194</v>
      </c>
      <c r="T7" s="6">
        <f t="shared" si="11"/>
        <v>299.58304357890484</v>
      </c>
      <c r="U7" s="6">
        <f t="shared" si="12"/>
        <v>74.895760894726209</v>
      </c>
      <c r="V7" s="6">
        <f t="shared" si="13"/>
        <v>374.47880447363104</v>
      </c>
      <c r="W7">
        <v>48</v>
      </c>
      <c r="X7" t="str">
        <f t="shared" si="14"/>
        <v>ALERT</v>
      </c>
      <c r="Y7" s="6">
        <f t="shared" si="15"/>
        <v>23</v>
      </c>
      <c r="Z7" s="6">
        <f t="shared" si="16"/>
        <v>115</v>
      </c>
      <c r="AA7" s="3"/>
      <c r="AB7" s="3"/>
      <c r="AC7" s="3"/>
      <c r="AD7" s="3"/>
      <c r="AE7" s="3"/>
      <c r="AF7" s="3"/>
      <c r="AG7" s="3"/>
      <c r="AH7" s="4"/>
      <c r="AI7" s="3"/>
      <c r="AJ7" s="6"/>
      <c r="AK7" s="6"/>
      <c r="AL7" s="6"/>
      <c r="AN7" s="6"/>
      <c r="AO7" s="6"/>
      <c r="AP7" s="6"/>
      <c r="AQ7" s="6"/>
      <c r="AR7" s="3"/>
    </row>
    <row r="8" spans="1:52" x14ac:dyDescent="0.3">
      <c r="A8" s="3" t="str">
        <f t="shared" si="0"/>
        <v>SKU007</v>
      </c>
      <c r="B8" s="3">
        <v>1737</v>
      </c>
      <c r="C8" s="3">
        <f t="shared" si="2"/>
        <v>2258.1</v>
      </c>
      <c r="D8" s="3">
        <v>97.85</v>
      </c>
      <c r="E8" s="3">
        <v>29</v>
      </c>
      <c r="F8" s="3" t="str" cm="1">
        <f t="array" aca="1" ref="F8" ca="1">INDEX({"Electronics","Clothing","Food","Furniture"}, RANDBETWEEN(1,4))</f>
        <v>Clothing</v>
      </c>
      <c r="G8" s="3">
        <v>50</v>
      </c>
      <c r="H8" s="3">
        <v>2</v>
      </c>
      <c r="I8" s="3">
        <f t="shared" si="1"/>
        <v>169965.44999999998</v>
      </c>
      <c r="J8" s="3">
        <f t="shared" si="17"/>
        <v>1240969.21</v>
      </c>
      <c r="K8" s="4">
        <f t="shared" si="3"/>
        <v>4.2580600864235568E-2</v>
      </c>
      <c r="M8" s="6">
        <f t="shared" si="4"/>
        <v>294.70324056582751</v>
      </c>
      <c r="N8" s="6">
        <f t="shared" si="5"/>
        <v>336.01339259023592</v>
      </c>
      <c r="O8" s="6">
        <f t="shared" si="6"/>
        <v>4.7589041095890412</v>
      </c>
      <c r="P8" s="6">
        <f t="shared" si="7"/>
        <v>138.00821917808219</v>
      </c>
      <c r="Q8" t="str">
        <f t="shared" si="8"/>
        <v>A</v>
      </c>
      <c r="R8" s="6">
        <f t="shared" si="9"/>
        <v>147.35162028291376</v>
      </c>
      <c r="S8" s="6">
        <f t="shared" si="10"/>
        <v>11.7881296226331</v>
      </c>
      <c r="T8" s="6">
        <f t="shared" si="11"/>
        <v>294.70324056582751</v>
      </c>
      <c r="U8" s="6">
        <f t="shared" si="12"/>
        <v>73.675810141456878</v>
      </c>
      <c r="V8" s="6">
        <f t="shared" si="13"/>
        <v>368.37905070728436</v>
      </c>
      <c r="W8">
        <v>182</v>
      </c>
      <c r="X8" t="str">
        <f t="shared" si="14"/>
        <v>OK</v>
      </c>
      <c r="Y8" s="6">
        <f t="shared" si="15"/>
        <v>34</v>
      </c>
      <c r="Z8" s="6">
        <f t="shared" si="16"/>
        <v>170</v>
      </c>
      <c r="AA8" s="3"/>
      <c r="AB8" s="3"/>
      <c r="AC8" s="3"/>
      <c r="AD8" s="3"/>
      <c r="AE8" s="3"/>
      <c r="AF8" s="3"/>
      <c r="AG8" s="3"/>
      <c r="AH8" s="4"/>
      <c r="AI8" s="3"/>
      <c r="AJ8" s="6"/>
      <c r="AK8" s="6"/>
      <c r="AL8" s="6"/>
      <c r="AN8" s="6"/>
      <c r="AO8" s="6"/>
      <c r="AP8" s="6"/>
      <c r="AQ8" s="6"/>
      <c r="AR8" s="3"/>
    </row>
    <row r="9" spans="1:52" x14ac:dyDescent="0.3">
      <c r="A9" s="3" t="str">
        <f t="shared" si="0"/>
        <v>SKU008</v>
      </c>
      <c r="B9" s="3">
        <v>1966</v>
      </c>
      <c r="C9" s="3">
        <f t="shared" si="2"/>
        <v>2555.8000000000002</v>
      </c>
      <c r="D9" s="3">
        <v>85.63</v>
      </c>
      <c r="E9" s="3">
        <v>26</v>
      </c>
      <c r="F9" s="3" t="str" cm="1">
        <f t="array" aca="1" ref="F9" ca="1">INDEX({"Electronics","Clothing","Food","Furniture"}, RANDBETWEEN(1,4))</f>
        <v>Electronics</v>
      </c>
      <c r="G9" s="3">
        <v>50</v>
      </c>
      <c r="H9" s="3">
        <v>2</v>
      </c>
      <c r="I9" s="3">
        <f t="shared" si="1"/>
        <v>168348.58</v>
      </c>
      <c r="J9" s="3">
        <f t="shared" si="17"/>
        <v>1409317.79</v>
      </c>
      <c r="K9" s="4">
        <f t="shared" si="3"/>
        <v>4.835704046747185E-2</v>
      </c>
      <c r="M9" s="6">
        <f t="shared" si="4"/>
        <v>313.52830813181765</v>
      </c>
      <c r="N9" s="6">
        <f t="shared" si="5"/>
        <v>357.47727200480875</v>
      </c>
      <c r="O9" s="6">
        <f t="shared" si="6"/>
        <v>5.3863013698630136</v>
      </c>
      <c r="P9" s="6">
        <f t="shared" si="7"/>
        <v>140.04383561643834</v>
      </c>
      <c r="Q9" t="str">
        <f t="shared" si="8"/>
        <v>A</v>
      </c>
      <c r="R9" s="6">
        <f t="shared" si="9"/>
        <v>156.76415406590883</v>
      </c>
      <c r="S9" s="6">
        <f t="shared" si="10"/>
        <v>12.541132325272706</v>
      </c>
      <c r="T9" s="6">
        <f t="shared" si="11"/>
        <v>313.52830813181765</v>
      </c>
      <c r="U9" s="6">
        <f t="shared" si="12"/>
        <v>78.382077032954413</v>
      </c>
      <c r="V9" s="6">
        <f t="shared" si="13"/>
        <v>391.91038516477204</v>
      </c>
      <c r="W9">
        <v>152</v>
      </c>
      <c r="X9" t="str">
        <f t="shared" si="14"/>
        <v>OK</v>
      </c>
      <c r="Y9" s="6">
        <f t="shared" si="15"/>
        <v>31</v>
      </c>
      <c r="Z9" s="6">
        <f t="shared" si="16"/>
        <v>155</v>
      </c>
      <c r="AA9" s="1"/>
      <c r="AB9" s="1"/>
      <c r="AC9" s="1"/>
      <c r="AD9" s="1"/>
      <c r="AE9" s="1"/>
      <c r="AF9" s="1"/>
      <c r="AG9" s="1"/>
      <c r="AH9" s="2"/>
      <c r="AI9" s="1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spans="1:52" x14ac:dyDescent="0.3">
      <c r="A10" s="3" t="str">
        <f t="shared" si="0"/>
        <v>SKU009</v>
      </c>
      <c r="B10" s="3">
        <v>1960</v>
      </c>
      <c r="C10" s="3">
        <f t="shared" si="2"/>
        <v>2548</v>
      </c>
      <c r="D10" s="3">
        <v>85.01</v>
      </c>
      <c r="E10" s="3">
        <v>24</v>
      </c>
      <c r="F10" s="3" t="str" cm="1">
        <f t="array" aca="1" ref="F10" ca="1">INDEX({"Electronics","Clothing","Food","Furniture"}, RANDBETWEEN(1,4))</f>
        <v>Food</v>
      </c>
      <c r="G10" s="3">
        <v>50</v>
      </c>
      <c r="H10" s="3">
        <v>2</v>
      </c>
      <c r="I10" s="3">
        <f t="shared" si="1"/>
        <v>166619.6</v>
      </c>
      <c r="J10" s="3">
        <f t="shared" si="17"/>
        <v>1575937.3900000001</v>
      </c>
      <c r="K10" s="4">
        <f t="shared" si="3"/>
        <v>5.4074154660626234E-2</v>
      </c>
      <c r="M10" s="6">
        <f t="shared" si="4"/>
        <v>313.04951684997053</v>
      </c>
      <c r="N10" s="6">
        <f t="shared" si="5"/>
        <v>356.93136595149491</v>
      </c>
      <c r="O10" s="6">
        <f t="shared" si="6"/>
        <v>5.3698630136986303</v>
      </c>
      <c r="P10" s="6">
        <f t="shared" si="7"/>
        <v>128.87671232876713</v>
      </c>
      <c r="Q10" t="str">
        <f t="shared" si="8"/>
        <v>A</v>
      </c>
      <c r="R10" s="6">
        <f t="shared" si="9"/>
        <v>156.52475842498527</v>
      </c>
      <c r="S10" s="6">
        <f t="shared" si="10"/>
        <v>12.521980673998824</v>
      </c>
      <c r="T10" s="6">
        <f t="shared" si="11"/>
        <v>313.04951684997059</v>
      </c>
      <c r="U10" s="6">
        <f t="shared" si="12"/>
        <v>78.262379212492633</v>
      </c>
      <c r="V10" s="6">
        <f t="shared" si="13"/>
        <v>391.31189606246323</v>
      </c>
      <c r="W10">
        <v>104</v>
      </c>
      <c r="X10" t="str">
        <f t="shared" si="14"/>
        <v>ALERT</v>
      </c>
      <c r="Y10" s="6">
        <f t="shared" si="15"/>
        <v>29</v>
      </c>
      <c r="Z10" s="6">
        <f t="shared" si="16"/>
        <v>145</v>
      </c>
      <c r="AA10" s="3"/>
      <c r="AB10" s="3"/>
      <c r="AC10" s="3"/>
      <c r="AD10" s="3"/>
      <c r="AE10" s="3"/>
      <c r="AF10" s="3"/>
      <c r="AG10" s="3"/>
      <c r="AH10" s="4"/>
      <c r="AI10" s="3"/>
      <c r="AJ10" s="6"/>
      <c r="AK10" s="6"/>
      <c r="AL10" s="6"/>
      <c r="AN10" s="6"/>
      <c r="AO10" s="6"/>
      <c r="AP10" s="6"/>
      <c r="AQ10" s="6"/>
      <c r="AR10" s="6"/>
    </row>
    <row r="11" spans="1:52" x14ac:dyDescent="0.3">
      <c r="A11" s="3" t="str">
        <f t="shared" si="0"/>
        <v>SKU010</v>
      </c>
      <c r="B11" s="3">
        <v>1662</v>
      </c>
      <c r="C11" s="3">
        <f t="shared" si="2"/>
        <v>2160.6</v>
      </c>
      <c r="D11" s="3">
        <v>97.19</v>
      </c>
      <c r="E11" s="3">
        <v>18</v>
      </c>
      <c r="F11" s="3" t="str" cm="1">
        <f t="array" aca="1" ref="F11" ca="1">INDEX({"Electronics","Clothing","Food","Furniture"}, RANDBETWEEN(1,4))</f>
        <v>Furniture</v>
      </c>
      <c r="G11" s="3">
        <v>50</v>
      </c>
      <c r="H11" s="3">
        <v>2</v>
      </c>
      <c r="I11" s="3">
        <f t="shared" si="1"/>
        <v>161529.78</v>
      </c>
      <c r="J11" s="3">
        <f t="shared" si="17"/>
        <v>1737467.1700000002</v>
      </c>
      <c r="K11" s="4">
        <f t="shared" si="3"/>
        <v>5.9616625041392396E-2</v>
      </c>
      <c r="M11" s="6">
        <f t="shared" si="4"/>
        <v>288.27070610799149</v>
      </c>
      <c r="N11" s="6">
        <f t="shared" si="5"/>
        <v>328.67917488030787</v>
      </c>
      <c r="O11" s="6">
        <f t="shared" si="6"/>
        <v>4.5534246575342463</v>
      </c>
      <c r="P11" s="6">
        <f t="shared" si="7"/>
        <v>81.961643835616428</v>
      </c>
      <c r="Q11" t="str">
        <f t="shared" si="8"/>
        <v>A</v>
      </c>
      <c r="R11" s="6">
        <f t="shared" si="9"/>
        <v>144.13535305399574</v>
      </c>
      <c r="S11" s="6">
        <f t="shared" si="10"/>
        <v>11.530828244319659</v>
      </c>
      <c r="T11" s="6">
        <f t="shared" si="11"/>
        <v>288.27070610799149</v>
      </c>
      <c r="U11" s="6">
        <f t="shared" si="12"/>
        <v>72.067676526997872</v>
      </c>
      <c r="V11" s="6">
        <f t="shared" si="13"/>
        <v>360.33838263498933</v>
      </c>
      <c r="W11">
        <v>100</v>
      </c>
      <c r="X11" t="str">
        <f t="shared" si="14"/>
        <v>OK</v>
      </c>
      <c r="Y11" s="6">
        <f t="shared" si="15"/>
        <v>23</v>
      </c>
      <c r="Z11" s="6">
        <f t="shared" si="16"/>
        <v>115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"/>
      <c r="AL11" s="1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3">
      <c r="A12" s="3" t="str">
        <f t="shared" si="0"/>
        <v>SKU011</v>
      </c>
      <c r="B12" s="3">
        <v>1755</v>
      </c>
      <c r="C12" s="3">
        <f t="shared" si="2"/>
        <v>2281.5</v>
      </c>
      <c r="D12" s="3">
        <v>91.8</v>
      </c>
      <c r="E12" s="3">
        <v>27</v>
      </c>
      <c r="F12" s="3" t="str" cm="1">
        <f t="array" aca="1" ref="F12" ca="1">INDEX({"Electronics","Clothing","Food","Furniture"}, RANDBETWEEN(1,4))</f>
        <v>Clothing</v>
      </c>
      <c r="G12" s="3">
        <v>50</v>
      </c>
      <c r="H12" s="3">
        <v>2</v>
      </c>
      <c r="I12" s="3">
        <f t="shared" si="1"/>
        <v>161109</v>
      </c>
      <c r="J12" s="3">
        <f t="shared" si="17"/>
        <v>1898576.1700000002</v>
      </c>
      <c r="K12" s="4">
        <f t="shared" si="3"/>
        <v>6.5144657461017164E-2</v>
      </c>
      <c r="M12" s="6">
        <f t="shared" si="4"/>
        <v>296.22626487197249</v>
      </c>
      <c r="N12" s="6">
        <f t="shared" si="5"/>
        <v>337.74990747593108</v>
      </c>
      <c r="O12" s="6">
        <f t="shared" si="6"/>
        <v>4.8082191780821919</v>
      </c>
      <c r="P12" s="6">
        <f t="shared" si="7"/>
        <v>129.82191780821918</v>
      </c>
      <c r="Q12" t="str">
        <f t="shared" si="8"/>
        <v>A</v>
      </c>
      <c r="R12" s="6">
        <f t="shared" si="9"/>
        <v>148.11313243598624</v>
      </c>
      <c r="S12" s="6">
        <f t="shared" si="10"/>
        <v>11.8490505948789</v>
      </c>
      <c r="T12" s="6">
        <f t="shared" si="11"/>
        <v>296.22626487197249</v>
      </c>
      <c r="U12" s="6">
        <f t="shared" si="12"/>
        <v>74.056566217993122</v>
      </c>
      <c r="V12" s="6">
        <f t="shared" si="13"/>
        <v>370.28283108996561</v>
      </c>
      <c r="W12">
        <v>134</v>
      </c>
      <c r="X12" t="str">
        <f t="shared" si="14"/>
        <v>OK</v>
      </c>
      <c r="Y12" s="6">
        <f t="shared" si="15"/>
        <v>32</v>
      </c>
      <c r="Z12" s="6">
        <f t="shared" si="16"/>
        <v>160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4"/>
      <c r="AL12" s="3"/>
      <c r="AM12" s="6"/>
      <c r="AN12" s="6"/>
      <c r="AO12" s="6"/>
      <c r="AP12" s="6"/>
      <c r="AR12" s="6"/>
      <c r="AS12" s="6"/>
      <c r="AT12" s="6"/>
      <c r="AU12" s="6"/>
      <c r="AV12" s="6"/>
      <c r="AY12" s="6"/>
      <c r="AZ12" s="6"/>
    </row>
    <row r="13" spans="1:52" x14ac:dyDescent="0.3">
      <c r="A13" s="3" t="str">
        <f t="shared" si="0"/>
        <v>SKU012</v>
      </c>
      <c r="B13" s="3">
        <v>1650</v>
      </c>
      <c r="C13" s="3">
        <f t="shared" si="2"/>
        <v>2145</v>
      </c>
      <c r="D13" s="3">
        <v>97.08</v>
      </c>
      <c r="E13" s="3">
        <v>28</v>
      </c>
      <c r="F13" s="3" t="str" cm="1">
        <f t="array" aca="1" ref="F13" ca="1">INDEX({"Electronics","Clothing","Food","Furniture"}, RANDBETWEEN(1,4))</f>
        <v>Food</v>
      </c>
      <c r="G13" s="3">
        <v>50</v>
      </c>
      <c r="H13" s="3">
        <v>2</v>
      </c>
      <c r="I13" s="3">
        <f t="shared" si="1"/>
        <v>160182</v>
      </c>
      <c r="J13" s="3">
        <f t="shared" si="17"/>
        <v>2058758.1700000002</v>
      </c>
      <c r="K13" s="4">
        <f t="shared" si="3"/>
        <v>7.0640882309041378E-2</v>
      </c>
      <c r="M13" s="6">
        <f t="shared" si="4"/>
        <v>287.22813232690146</v>
      </c>
      <c r="N13" s="6">
        <f t="shared" si="5"/>
        <v>327.4904578762563</v>
      </c>
      <c r="O13" s="6">
        <f t="shared" si="6"/>
        <v>4.5205479452054798</v>
      </c>
      <c r="P13" s="6">
        <f t="shared" si="7"/>
        <v>126.57534246575344</v>
      </c>
      <c r="Q13" t="str">
        <f t="shared" si="8"/>
        <v>A</v>
      </c>
      <c r="R13" s="6">
        <f t="shared" si="9"/>
        <v>143.61406616345073</v>
      </c>
      <c r="S13" s="6">
        <f t="shared" si="10"/>
        <v>11.489125293076055</v>
      </c>
      <c r="T13" s="6">
        <f t="shared" si="11"/>
        <v>287.2281323269014</v>
      </c>
      <c r="U13" s="6">
        <f t="shared" si="12"/>
        <v>71.807033081725365</v>
      </c>
      <c r="V13" s="6">
        <f t="shared" si="13"/>
        <v>359.03516540862677</v>
      </c>
      <c r="W13">
        <v>155</v>
      </c>
      <c r="X13" t="str">
        <f t="shared" si="14"/>
        <v>OK</v>
      </c>
      <c r="Y13" s="6">
        <f t="shared" si="15"/>
        <v>33</v>
      </c>
      <c r="Z13" s="6">
        <f t="shared" si="16"/>
        <v>165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4"/>
      <c r="AL13" s="3"/>
      <c r="AM13" s="6"/>
      <c r="AN13" s="6"/>
      <c r="AO13" s="6"/>
      <c r="AP13" s="6"/>
      <c r="AR13" s="6"/>
      <c r="AS13" s="6"/>
      <c r="AT13" s="6"/>
      <c r="AU13" s="6"/>
      <c r="AV13" s="6"/>
      <c r="AY13" s="6"/>
      <c r="AZ13" s="6"/>
    </row>
    <row r="14" spans="1:52" x14ac:dyDescent="0.3">
      <c r="A14" s="3" t="str">
        <f t="shared" si="0"/>
        <v>SKU013</v>
      </c>
      <c r="B14" s="3">
        <v>1646</v>
      </c>
      <c r="C14" s="3">
        <f t="shared" si="2"/>
        <v>2139.8000000000002</v>
      </c>
      <c r="D14" s="3">
        <v>97.14</v>
      </c>
      <c r="E14" s="3">
        <v>15</v>
      </c>
      <c r="F14" s="3" t="str" cm="1">
        <f t="array" aca="1" ref="F14" ca="1">INDEX({"Electronics","Clothing","Food","Furniture"}, RANDBETWEEN(1,4))</f>
        <v>Electronics</v>
      </c>
      <c r="G14" s="3">
        <v>50</v>
      </c>
      <c r="H14" s="3">
        <v>2</v>
      </c>
      <c r="I14" s="3">
        <f t="shared" si="1"/>
        <v>159892.44</v>
      </c>
      <c r="J14" s="3">
        <f t="shared" si="17"/>
        <v>2218650.6100000003</v>
      </c>
      <c r="K14" s="4">
        <f t="shared" si="3"/>
        <v>7.612717166576824E-2</v>
      </c>
      <c r="M14" s="6">
        <f t="shared" si="4"/>
        <v>286.87976575562107</v>
      </c>
      <c r="N14" s="6">
        <f t="shared" si="5"/>
        <v>327.09325887275639</v>
      </c>
      <c r="O14" s="6">
        <f t="shared" si="6"/>
        <v>4.5095890410958903</v>
      </c>
      <c r="P14" s="6">
        <f t="shared" si="7"/>
        <v>67.643835616438352</v>
      </c>
      <c r="Q14" t="str">
        <f t="shared" si="8"/>
        <v>A</v>
      </c>
      <c r="R14" s="6">
        <f t="shared" si="9"/>
        <v>143.43988287781053</v>
      </c>
      <c r="S14" s="6">
        <f t="shared" si="10"/>
        <v>11.475190630224841</v>
      </c>
      <c r="T14" s="6">
        <f t="shared" si="11"/>
        <v>286.87976575562101</v>
      </c>
      <c r="U14" s="6">
        <f t="shared" si="12"/>
        <v>71.719941438905266</v>
      </c>
      <c r="V14" s="6">
        <f t="shared" si="13"/>
        <v>358.59970719452627</v>
      </c>
      <c r="W14">
        <v>68</v>
      </c>
      <c r="X14" t="str">
        <f t="shared" si="14"/>
        <v>OK</v>
      </c>
      <c r="Y14" s="6">
        <f t="shared" si="15"/>
        <v>20</v>
      </c>
      <c r="Z14" s="6">
        <f t="shared" si="16"/>
        <v>100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4"/>
      <c r="AL14" s="3"/>
      <c r="AM14" s="6"/>
      <c r="AN14" s="6"/>
      <c r="AO14" s="6"/>
      <c r="AP14" s="6"/>
      <c r="AR14" s="6"/>
      <c r="AS14" s="6"/>
      <c r="AT14" s="6"/>
      <c r="AU14" s="6"/>
      <c r="AV14" s="6"/>
      <c r="AY14" s="6"/>
      <c r="AZ14" s="6"/>
    </row>
    <row r="15" spans="1:52" x14ac:dyDescent="0.3">
      <c r="A15" s="3" t="str">
        <f t="shared" si="0"/>
        <v>SKU014</v>
      </c>
      <c r="B15" s="3">
        <v>1734</v>
      </c>
      <c r="C15" s="3">
        <f t="shared" si="2"/>
        <v>2254.2000000000003</v>
      </c>
      <c r="D15" s="3">
        <v>91.6</v>
      </c>
      <c r="E15" s="3">
        <v>11</v>
      </c>
      <c r="F15" s="3" t="str" cm="1">
        <f t="array" aca="1" ref="F15" ca="1">INDEX({"Electronics","Clothing","Food","Furniture"}, RANDBETWEEN(1,4))</f>
        <v>Clothing</v>
      </c>
      <c r="G15" s="3">
        <v>50</v>
      </c>
      <c r="H15" s="3">
        <v>2</v>
      </c>
      <c r="I15" s="3">
        <f t="shared" si="1"/>
        <v>158834.4</v>
      </c>
      <c r="J15" s="3">
        <f t="shared" si="17"/>
        <v>2377485.0100000002</v>
      </c>
      <c r="K15" s="4">
        <f t="shared" si="3"/>
        <v>8.1577157157278007E-2</v>
      </c>
      <c r="M15" s="6">
        <f t="shared" si="4"/>
        <v>294.44863728670913</v>
      </c>
      <c r="N15" s="6">
        <f t="shared" si="5"/>
        <v>335.72310018823549</v>
      </c>
      <c r="O15" s="6">
        <f t="shared" si="6"/>
        <v>4.7506849315068491</v>
      </c>
      <c r="P15" s="6">
        <f t="shared" si="7"/>
        <v>52.257534246575339</v>
      </c>
      <c r="Q15" t="str">
        <f t="shared" si="8"/>
        <v>A</v>
      </c>
      <c r="R15" s="6">
        <f t="shared" si="9"/>
        <v>147.22431864335456</v>
      </c>
      <c r="S15" s="6">
        <f t="shared" si="10"/>
        <v>11.777945491468365</v>
      </c>
      <c r="T15" s="6">
        <f t="shared" si="11"/>
        <v>294.44863728670913</v>
      </c>
      <c r="U15" s="6">
        <f t="shared" si="12"/>
        <v>73.612159321677282</v>
      </c>
      <c r="V15" s="6">
        <f t="shared" si="13"/>
        <v>368.0607966083864</v>
      </c>
      <c r="W15">
        <v>64</v>
      </c>
      <c r="X15" t="str">
        <f t="shared" si="14"/>
        <v>OK</v>
      </c>
      <c r="Y15" s="6">
        <f t="shared" si="15"/>
        <v>16</v>
      </c>
      <c r="Z15" s="6">
        <f t="shared" si="16"/>
        <v>80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4"/>
      <c r="AL15" s="3"/>
      <c r="AM15" s="6"/>
      <c r="AN15" s="6"/>
      <c r="AO15" s="6"/>
      <c r="AP15" s="6"/>
      <c r="AR15" s="6"/>
      <c r="AS15" s="6"/>
      <c r="AT15" s="6"/>
      <c r="AU15" s="6"/>
      <c r="AV15" s="6"/>
      <c r="AY15" s="6"/>
      <c r="AZ15" s="6"/>
    </row>
    <row r="16" spans="1:52" x14ac:dyDescent="0.3">
      <c r="A16" s="3" t="str">
        <f t="shared" si="0"/>
        <v>SKU015</v>
      </c>
      <c r="B16" s="3">
        <v>1841</v>
      </c>
      <c r="C16" s="3">
        <f t="shared" si="2"/>
        <v>2393.3000000000002</v>
      </c>
      <c r="D16" s="3">
        <v>86.12</v>
      </c>
      <c r="E16" s="3">
        <v>11</v>
      </c>
      <c r="F16" s="3" t="str" cm="1">
        <f t="array" aca="1" ref="F16" ca="1">INDEX({"Electronics","Clothing","Food","Furniture"}, RANDBETWEEN(1,4))</f>
        <v>Electronics</v>
      </c>
      <c r="G16" s="3">
        <v>50</v>
      </c>
      <c r="H16" s="3">
        <v>2</v>
      </c>
      <c r="I16" s="3">
        <f t="shared" si="1"/>
        <v>158546.92000000001</v>
      </c>
      <c r="J16" s="3">
        <f t="shared" si="17"/>
        <v>2536031.9300000002</v>
      </c>
      <c r="K16" s="4">
        <f t="shared" si="3"/>
        <v>8.7017278527230346E-2</v>
      </c>
      <c r="M16" s="6">
        <f t="shared" si="4"/>
        <v>303.3974291255613</v>
      </c>
      <c r="N16" s="6">
        <f t="shared" si="5"/>
        <v>345.92629272722246</v>
      </c>
      <c r="O16" s="6">
        <f t="shared" si="6"/>
        <v>5.043835616438356</v>
      </c>
      <c r="P16" s="6">
        <f t="shared" si="7"/>
        <v>55.482191780821914</v>
      </c>
      <c r="Q16" t="str">
        <f t="shared" si="8"/>
        <v>A</v>
      </c>
      <c r="R16" s="6">
        <f t="shared" si="9"/>
        <v>151.69871456278065</v>
      </c>
      <c r="S16" s="6">
        <f t="shared" si="10"/>
        <v>12.135897165022453</v>
      </c>
      <c r="T16" s="6">
        <f t="shared" si="11"/>
        <v>303.3974291255613</v>
      </c>
      <c r="U16" s="6">
        <f t="shared" si="12"/>
        <v>75.849357281390326</v>
      </c>
      <c r="V16" s="6">
        <f t="shared" si="13"/>
        <v>379.24678640695163</v>
      </c>
      <c r="W16">
        <v>60</v>
      </c>
      <c r="X16" t="str">
        <f t="shared" si="14"/>
        <v>OK</v>
      </c>
      <c r="Y16" s="6">
        <f t="shared" si="15"/>
        <v>16</v>
      </c>
      <c r="Z16" s="6">
        <f t="shared" si="16"/>
        <v>80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4"/>
      <c r="AL16" s="3"/>
      <c r="AM16" s="6"/>
      <c r="AN16" s="6"/>
      <c r="AO16" s="6"/>
      <c r="AP16" s="6"/>
      <c r="AR16" s="6"/>
      <c r="AS16" s="6"/>
      <c r="AT16" s="6"/>
      <c r="AU16" s="6"/>
      <c r="AV16" s="6"/>
      <c r="AY16" s="6"/>
      <c r="AZ16" s="6"/>
    </row>
    <row r="17" spans="1:52" x14ac:dyDescent="0.3">
      <c r="A17" s="3" t="str">
        <f t="shared" si="0"/>
        <v>SKU016</v>
      </c>
      <c r="B17" s="3">
        <v>1688</v>
      </c>
      <c r="C17" s="3">
        <f t="shared" si="2"/>
        <v>2194.4</v>
      </c>
      <c r="D17" s="3">
        <v>93.9</v>
      </c>
      <c r="E17" s="3">
        <v>9</v>
      </c>
      <c r="F17" s="3" t="str" cm="1">
        <f t="array" aca="1" ref="F17" ca="1">INDEX({"Electronics","Clothing","Food","Furniture"}, RANDBETWEEN(1,4))</f>
        <v>Food</v>
      </c>
      <c r="G17" s="3">
        <v>50</v>
      </c>
      <c r="H17" s="3">
        <v>2</v>
      </c>
      <c r="I17" s="3">
        <f t="shared" si="1"/>
        <v>158503.20000000001</v>
      </c>
      <c r="J17" s="3">
        <f t="shared" si="17"/>
        <v>2694535.1300000004</v>
      </c>
      <c r="K17" s="4">
        <f t="shared" si="3"/>
        <v>9.2455899760148869E-2</v>
      </c>
      <c r="M17" s="6">
        <f t="shared" si="4"/>
        <v>290.51678092667902</v>
      </c>
      <c r="N17" s="6">
        <f t="shared" si="5"/>
        <v>331.24009419150934</v>
      </c>
      <c r="O17" s="6">
        <f t="shared" si="6"/>
        <v>4.624657534246575</v>
      </c>
      <c r="P17" s="6">
        <f t="shared" si="7"/>
        <v>41.621917808219173</v>
      </c>
      <c r="Q17" t="str">
        <f t="shared" si="8"/>
        <v>A</v>
      </c>
      <c r="R17" s="6">
        <f t="shared" si="9"/>
        <v>145.25839046333951</v>
      </c>
      <c r="S17" s="6">
        <f t="shared" si="10"/>
        <v>11.620671237067159</v>
      </c>
      <c r="T17" s="6">
        <f t="shared" si="11"/>
        <v>290.51678092667896</v>
      </c>
      <c r="U17" s="6">
        <f t="shared" si="12"/>
        <v>72.629195231669755</v>
      </c>
      <c r="V17" s="6">
        <f t="shared" si="13"/>
        <v>363.14597615834873</v>
      </c>
      <c r="W17">
        <v>32</v>
      </c>
      <c r="X17" t="str">
        <f t="shared" si="14"/>
        <v>ALERT</v>
      </c>
      <c r="Y17" s="6">
        <f t="shared" si="15"/>
        <v>14</v>
      </c>
      <c r="Z17" s="6">
        <f t="shared" si="16"/>
        <v>70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4"/>
      <c r="AL17" s="3"/>
      <c r="AM17" s="6"/>
      <c r="AN17" s="6"/>
      <c r="AO17" s="6"/>
      <c r="AP17" s="6"/>
      <c r="AR17" s="6"/>
      <c r="AS17" s="6"/>
      <c r="AT17" s="6"/>
      <c r="AU17" s="6"/>
      <c r="AV17" s="6"/>
      <c r="AY17" s="6"/>
      <c r="AZ17" s="6"/>
    </row>
    <row r="18" spans="1:52" x14ac:dyDescent="0.3">
      <c r="A18" s="3" t="str">
        <f t="shared" si="0"/>
        <v>SKU017</v>
      </c>
      <c r="B18" s="3">
        <v>1732</v>
      </c>
      <c r="C18" s="3">
        <f t="shared" si="2"/>
        <v>2251.6</v>
      </c>
      <c r="D18" s="3">
        <v>89.37</v>
      </c>
      <c r="E18" s="3">
        <v>25</v>
      </c>
      <c r="F18" s="3" t="str" cm="1">
        <f t="array" aca="1" ref="F18" ca="1">INDEX({"Electronics","Clothing","Food","Furniture"}, RANDBETWEEN(1,4))</f>
        <v>Clothing</v>
      </c>
      <c r="G18" s="3">
        <v>50</v>
      </c>
      <c r="H18" s="3">
        <v>2</v>
      </c>
      <c r="I18" s="3">
        <f t="shared" si="1"/>
        <v>154788.84</v>
      </c>
      <c r="J18" s="3">
        <f t="shared" si="17"/>
        <v>2849323.97</v>
      </c>
      <c r="K18" s="4">
        <f t="shared" si="3"/>
        <v>9.776707247996036E-2</v>
      </c>
      <c r="M18" s="6">
        <f t="shared" si="4"/>
        <v>294.27877939124323</v>
      </c>
      <c r="N18" s="6">
        <f t="shared" si="5"/>
        <v>335.52943239006618</v>
      </c>
      <c r="O18" s="6">
        <f t="shared" si="6"/>
        <v>4.7452054794520544</v>
      </c>
      <c r="P18" s="6">
        <f t="shared" si="7"/>
        <v>118.63013698630137</v>
      </c>
      <c r="Q18" t="str">
        <f t="shared" si="8"/>
        <v>A</v>
      </c>
      <c r="R18" s="6">
        <f t="shared" si="9"/>
        <v>147.13938969562162</v>
      </c>
      <c r="S18" s="6">
        <f t="shared" si="10"/>
        <v>11.771151175649729</v>
      </c>
      <c r="T18" s="6">
        <f t="shared" si="11"/>
        <v>294.27877939124323</v>
      </c>
      <c r="U18" s="6">
        <f t="shared" si="12"/>
        <v>73.569694847810808</v>
      </c>
      <c r="V18" s="6">
        <f t="shared" si="13"/>
        <v>367.84847423905404</v>
      </c>
      <c r="W18">
        <v>15</v>
      </c>
      <c r="X18" t="str">
        <f t="shared" si="14"/>
        <v>ALERT</v>
      </c>
      <c r="Y18" s="6">
        <f t="shared" si="15"/>
        <v>30</v>
      </c>
      <c r="Z18" s="6">
        <f t="shared" si="16"/>
        <v>150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4"/>
      <c r="AL18" s="3"/>
      <c r="AM18" s="6"/>
      <c r="AN18" s="6"/>
      <c r="AO18" s="6"/>
      <c r="AP18" s="6"/>
      <c r="AR18" s="6"/>
      <c r="AS18" s="6"/>
      <c r="AT18" s="6"/>
      <c r="AU18" s="6"/>
      <c r="AV18" s="6"/>
      <c r="AY18" s="6"/>
      <c r="AZ18" s="6"/>
    </row>
    <row r="19" spans="1:52" x14ac:dyDescent="0.3">
      <c r="A19" s="3" t="str">
        <f t="shared" si="0"/>
        <v>SKU018</v>
      </c>
      <c r="B19" s="3">
        <v>1612</v>
      </c>
      <c r="C19" s="3">
        <f t="shared" si="2"/>
        <v>2095.6</v>
      </c>
      <c r="D19" s="3">
        <v>93.01</v>
      </c>
      <c r="E19" s="3">
        <v>10</v>
      </c>
      <c r="F19" s="3" t="str" cm="1">
        <f t="array" aca="1" ref="F19" ca="1">INDEX({"Electronics","Clothing","Food","Furniture"}, RANDBETWEEN(1,4))</f>
        <v>Electronics</v>
      </c>
      <c r="G19" s="3">
        <v>50</v>
      </c>
      <c r="H19" s="3">
        <v>2</v>
      </c>
      <c r="I19" s="3">
        <f t="shared" si="1"/>
        <v>149932.12</v>
      </c>
      <c r="J19" s="3">
        <f t="shared" si="17"/>
        <v>2999256.0900000003</v>
      </c>
      <c r="K19" s="4">
        <f t="shared" si="3"/>
        <v>0.10291159960198998</v>
      </c>
      <c r="M19" s="6">
        <f t="shared" si="4"/>
        <v>283.90139133156782</v>
      </c>
      <c r="N19" s="6">
        <f t="shared" si="5"/>
        <v>323.69738954770702</v>
      </c>
      <c r="O19" s="6">
        <f t="shared" si="6"/>
        <v>4.4164383561643836</v>
      </c>
      <c r="P19" s="6">
        <f t="shared" si="7"/>
        <v>44.164383561643838</v>
      </c>
      <c r="Q19" t="str">
        <f t="shared" si="8"/>
        <v>A</v>
      </c>
      <c r="R19" s="6">
        <f t="shared" si="9"/>
        <v>141.95069566578391</v>
      </c>
      <c r="S19" s="6">
        <f t="shared" si="10"/>
        <v>11.356055653262711</v>
      </c>
      <c r="T19" s="6">
        <f t="shared" si="11"/>
        <v>283.90139133156777</v>
      </c>
      <c r="U19" s="6">
        <f t="shared" si="12"/>
        <v>70.975347832891956</v>
      </c>
      <c r="V19" s="6">
        <f t="shared" si="13"/>
        <v>354.87673916445971</v>
      </c>
      <c r="W19">
        <v>81</v>
      </c>
      <c r="X19" t="str">
        <f t="shared" si="14"/>
        <v>OK</v>
      </c>
      <c r="Y19" s="6">
        <f t="shared" si="15"/>
        <v>15</v>
      </c>
      <c r="Z19" s="6">
        <f t="shared" si="16"/>
        <v>60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4"/>
      <c r="AL19" s="3"/>
      <c r="AM19" s="6"/>
      <c r="AN19" s="6"/>
      <c r="AO19" s="6"/>
      <c r="AP19" s="6"/>
      <c r="AR19" s="6"/>
      <c r="AS19" s="6"/>
      <c r="AT19" s="6"/>
      <c r="AU19" s="6"/>
      <c r="AV19" s="6"/>
      <c r="AY19" s="6"/>
      <c r="AZ19" s="6"/>
    </row>
    <row r="20" spans="1:52" x14ac:dyDescent="0.3">
      <c r="A20" s="3" t="str">
        <f t="shared" si="0"/>
        <v>SKU019</v>
      </c>
      <c r="B20" s="3">
        <v>1654</v>
      </c>
      <c r="C20" s="3">
        <f t="shared" si="2"/>
        <v>2150.2000000000003</v>
      </c>
      <c r="D20" s="3">
        <v>90.12</v>
      </c>
      <c r="E20" s="3">
        <v>23</v>
      </c>
      <c r="F20" s="3" t="str" cm="1">
        <f t="array" aca="1" ref="F20" ca="1">INDEX({"Electronics","Clothing","Food","Furniture"}, RANDBETWEEN(1,4))</f>
        <v>Food</v>
      </c>
      <c r="G20" s="3">
        <v>50</v>
      </c>
      <c r="H20" s="3">
        <v>2</v>
      </c>
      <c r="I20" s="3">
        <f t="shared" si="1"/>
        <v>149058.48000000001</v>
      </c>
      <c r="J20" s="3">
        <f t="shared" si="17"/>
        <v>3148314.5700000003</v>
      </c>
      <c r="K20" s="4">
        <f t="shared" si="3"/>
        <v>0.10802615006074764</v>
      </c>
      <c r="M20" s="6">
        <f t="shared" si="4"/>
        <v>287.57607689096812</v>
      </c>
      <c r="N20" s="6">
        <f t="shared" si="5"/>
        <v>327.88717571750198</v>
      </c>
      <c r="O20" s="6">
        <f t="shared" si="6"/>
        <v>4.5315068493150683</v>
      </c>
      <c r="P20" s="6">
        <f t="shared" si="7"/>
        <v>104.22465753424657</v>
      </c>
      <c r="Q20" t="str">
        <f t="shared" si="8"/>
        <v>A</v>
      </c>
      <c r="R20" s="6">
        <f t="shared" si="9"/>
        <v>143.78803844548406</v>
      </c>
      <c r="S20" s="6">
        <f t="shared" si="10"/>
        <v>11.503043075638724</v>
      </c>
      <c r="T20" s="6">
        <f t="shared" si="11"/>
        <v>287.57607689096807</v>
      </c>
      <c r="U20" s="6">
        <f t="shared" si="12"/>
        <v>71.894019222742031</v>
      </c>
      <c r="V20" s="6">
        <f t="shared" si="13"/>
        <v>359.4700961137101</v>
      </c>
      <c r="W20">
        <v>124</v>
      </c>
      <c r="X20" t="str">
        <f t="shared" si="14"/>
        <v>OK</v>
      </c>
      <c r="Y20" s="6">
        <f t="shared" si="15"/>
        <v>28</v>
      </c>
      <c r="Z20" s="6">
        <f t="shared" si="16"/>
        <v>140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4"/>
      <c r="AL20" s="3"/>
      <c r="AM20" s="6"/>
      <c r="AN20" s="6"/>
      <c r="AO20" s="6"/>
      <c r="AP20" s="6"/>
      <c r="AR20" s="6"/>
      <c r="AS20" s="6"/>
      <c r="AT20" s="6"/>
      <c r="AU20" s="6"/>
      <c r="AV20" s="6"/>
      <c r="AY20" s="6"/>
      <c r="AZ20" s="6"/>
    </row>
    <row r="21" spans="1:52" x14ac:dyDescent="0.3">
      <c r="A21" s="3" t="str">
        <f t="shared" si="0"/>
        <v>SKU020</v>
      </c>
      <c r="B21" s="3">
        <v>1804</v>
      </c>
      <c r="C21" s="3">
        <f t="shared" si="2"/>
        <v>2345.2000000000003</v>
      </c>
      <c r="D21" s="3">
        <v>81.42</v>
      </c>
      <c r="E21" s="3">
        <v>26</v>
      </c>
      <c r="F21" s="3" t="str" cm="1">
        <f t="array" aca="1" ref="F21" ca="1">INDEX({"Electronics","Clothing","Food","Furniture"}, RANDBETWEEN(1,4))</f>
        <v>Food</v>
      </c>
      <c r="G21" s="3">
        <v>50</v>
      </c>
      <c r="H21" s="3">
        <v>2</v>
      </c>
      <c r="I21" s="3">
        <f t="shared" si="1"/>
        <v>146881.68</v>
      </c>
      <c r="J21" s="3">
        <f t="shared" si="17"/>
        <v>3295196.2500000005</v>
      </c>
      <c r="K21" s="4">
        <f t="shared" si="3"/>
        <v>0.11306600934166275</v>
      </c>
      <c r="M21" s="6">
        <f t="shared" si="4"/>
        <v>300.33314835362415</v>
      </c>
      <c r="N21" s="6">
        <f t="shared" si="5"/>
        <v>342.43247509545586</v>
      </c>
      <c r="O21" s="6">
        <f t="shared" si="6"/>
        <v>4.9424657534246572</v>
      </c>
      <c r="P21" s="6">
        <f t="shared" si="7"/>
        <v>128.50410958904109</v>
      </c>
      <c r="Q21" t="str">
        <f t="shared" si="8"/>
        <v>A</v>
      </c>
      <c r="R21" s="6">
        <f t="shared" si="9"/>
        <v>150.16657417681208</v>
      </c>
      <c r="S21" s="6">
        <f t="shared" si="10"/>
        <v>12.013325934144964</v>
      </c>
      <c r="T21" s="6">
        <f t="shared" si="11"/>
        <v>300.3331483536241</v>
      </c>
      <c r="U21" s="6">
        <f t="shared" si="12"/>
        <v>75.083287088406038</v>
      </c>
      <c r="V21" s="6">
        <f t="shared" si="13"/>
        <v>375.41643544203015</v>
      </c>
      <c r="W21">
        <v>159</v>
      </c>
      <c r="X21" t="str">
        <f t="shared" si="14"/>
        <v>OK</v>
      </c>
      <c r="Y21" s="6">
        <f t="shared" si="15"/>
        <v>31</v>
      </c>
      <c r="Z21" s="6">
        <f t="shared" si="16"/>
        <v>155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4"/>
      <c r="AL21" s="3"/>
      <c r="AM21" s="6"/>
      <c r="AN21" s="6"/>
      <c r="AO21" s="6"/>
      <c r="AP21" s="6"/>
      <c r="AR21" s="6"/>
      <c r="AS21" s="6"/>
      <c r="AT21" s="6"/>
      <c r="AU21" s="6"/>
      <c r="AV21" s="6"/>
      <c r="AY21" s="6"/>
      <c r="AZ21" s="6"/>
    </row>
    <row r="22" spans="1:52" x14ac:dyDescent="0.3">
      <c r="A22" s="3" t="str">
        <f t="shared" si="0"/>
        <v>SKU021</v>
      </c>
      <c r="B22" s="3">
        <v>1548</v>
      </c>
      <c r="C22" s="3">
        <f t="shared" si="2"/>
        <v>2012.4</v>
      </c>
      <c r="D22" s="3">
        <v>94.05</v>
      </c>
      <c r="E22" s="3">
        <v>28</v>
      </c>
      <c r="F22" s="3" t="str" cm="1">
        <f t="array" aca="1" ref="F22" ca="1">INDEX({"Electronics","Clothing","Food","Furniture"}, RANDBETWEEN(1,4))</f>
        <v>Electronics</v>
      </c>
      <c r="G22" s="3">
        <v>50</v>
      </c>
      <c r="H22" s="3">
        <v>2</v>
      </c>
      <c r="I22" s="3">
        <f t="shared" si="1"/>
        <v>145589.4</v>
      </c>
      <c r="J22" s="3">
        <f t="shared" si="17"/>
        <v>3440785.6500000004</v>
      </c>
      <c r="K22" s="4">
        <f t="shared" si="3"/>
        <v>0.11806152742664693</v>
      </c>
      <c r="M22" s="6">
        <f t="shared" si="4"/>
        <v>278.20855486487113</v>
      </c>
      <c r="N22" s="6">
        <f t="shared" si="5"/>
        <v>317.20655730927126</v>
      </c>
      <c r="O22" s="6">
        <f t="shared" si="6"/>
        <v>4.2410958904109588</v>
      </c>
      <c r="P22" s="6">
        <f t="shared" si="7"/>
        <v>118.75068493150684</v>
      </c>
      <c r="Q22" t="str">
        <f t="shared" si="8"/>
        <v>A</v>
      </c>
      <c r="R22" s="6">
        <f t="shared" si="9"/>
        <v>139.10427743243557</v>
      </c>
      <c r="S22" s="6">
        <f t="shared" si="10"/>
        <v>11.128342194594843</v>
      </c>
      <c r="T22" s="6">
        <f t="shared" si="11"/>
        <v>278.20855486487108</v>
      </c>
      <c r="U22" s="6">
        <f t="shared" si="12"/>
        <v>69.552138716217783</v>
      </c>
      <c r="V22" s="6">
        <f t="shared" si="13"/>
        <v>347.76069358108884</v>
      </c>
      <c r="W22">
        <v>161</v>
      </c>
      <c r="X22" t="str">
        <f t="shared" si="14"/>
        <v>OK</v>
      </c>
      <c r="Y22" s="6">
        <f t="shared" si="15"/>
        <v>33</v>
      </c>
      <c r="Z22" s="6">
        <f t="shared" si="16"/>
        <v>132</v>
      </c>
    </row>
    <row r="23" spans="1:52" x14ac:dyDescent="0.3">
      <c r="A23" s="3" t="str">
        <f t="shared" si="0"/>
        <v>SKU022</v>
      </c>
      <c r="B23" s="3">
        <v>1861</v>
      </c>
      <c r="C23" s="3">
        <f t="shared" si="2"/>
        <v>2419.3000000000002</v>
      </c>
      <c r="D23" s="3">
        <v>76.75</v>
      </c>
      <c r="E23" s="3">
        <v>2</v>
      </c>
      <c r="F23" s="3" t="str" cm="1">
        <f t="array" aca="1" ref="F23" ca="1">INDEX({"Electronics","Clothing","Food","Furniture"}, RANDBETWEEN(1,4))</f>
        <v>Clothing</v>
      </c>
      <c r="G23" s="3">
        <v>50</v>
      </c>
      <c r="H23" s="3">
        <v>2</v>
      </c>
      <c r="I23" s="3">
        <f t="shared" si="1"/>
        <v>142831.75</v>
      </c>
      <c r="J23" s="3">
        <f t="shared" si="17"/>
        <v>3583617.4000000004</v>
      </c>
      <c r="K23" s="4">
        <f t="shared" si="3"/>
        <v>0.12296242399078512</v>
      </c>
      <c r="M23" s="6">
        <f t="shared" si="4"/>
        <v>305.04098085339285</v>
      </c>
      <c r="N23" s="6">
        <f t="shared" si="5"/>
        <v>347.80023001717524</v>
      </c>
      <c r="O23" s="6">
        <f t="shared" si="6"/>
        <v>5.0986301369863014</v>
      </c>
      <c r="P23" s="6">
        <f t="shared" si="7"/>
        <v>10.197260273972603</v>
      </c>
      <c r="Q23" t="str">
        <f t="shared" si="8"/>
        <v>A</v>
      </c>
      <c r="R23" s="6">
        <f t="shared" si="9"/>
        <v>152.52049042669643</v>
      </c>
      <c r="S23" s="6">
        <f t="shared" si="10"/>
        <v>12.201639234135715</v>
      </c>
      <c r="T23" s="6">
        <f t="shared" si="11"/>
        <v>305.04098085339291</v>
      </c>
      <c r="U23" s="6">
        <f t="shared" si="12"/>
        <v>76.260245213348213</v>
      </c>
      <c r="V23" s="6">
        <f t="shared" si="13"/>
        <v>381.30122606674115</v>
      </c>
      <c r="W23">
        <v>18</v>
      </c>
      <c r="X23" t="str">
        <f t="shared" si="14"/>
        <v>OK</v>
      </c>
      <c r="Y23" s="6">
        <f t="shared" si="15"/>
        <v>7</v>
      </c>
      <c r="Z23" s="6">
        <f t="shared" si="16"/>
        <v>35</v>
      </c>
    </row>
    <row r="24" spans="1:52" x14ac:dyDescent="0.3">
      <c r="A24" s="3" t="str">
        <f t="shared" si="0"/>
        <v>SKU023</v>
      </c>
      <c r="B24" s="3">
        <v>1509</v>
      </c>
      <c r="C24" s="3">
        <f t="shared" si="2"/>
        <v>1961.7</v>
      </c>
      <c r="D24" s="3">
        <v>94.55</v>
      </c>
      <c r="E24" s="3">
        <v>13</v>
      </c>
      <c r="F24" s="3" t="str" cm="1">
        <f t="array" aca="1" ref="F24" ca="1">INDEX({"Electronics","Clothing","Food","Furniture"}, RANDBETWEEN(1,4))</f>
        <v>Food</v>
      </c>
      <c r="G24" s="3">
        <v>50</v>
      </c>
      <c r="H24" s="3">
        <v>2</v>
      </c>
      <c r="I24" s="3">
        <f t="shared" si="1"/>
        <v>142675.94999999998</v>
      </c>
      <c r="J24" s="3">
        <f t="shared" si="17"/>
        <v>3726293.3500000006</v>
      </c>
      <c r="K24" s="4">
        <f t="shared" si="3"/>
        <v>0.12785797468690241</v>
      </c>
      <c r="M24" s="6">
        <f t="shared" si="4"/>
        <v>274.68163389640745</v>
      </c>
      <c r="N24" s="6">
        <f t="shared" si="5"/>
        <v>313.18524869476209</v>
      </c>
      <c r="O24" s="6">
        <f t="shared" si="6"/>
        <v>4.1342465753424653</v>
      </c>
      <c r="P24" s="6">
        <f t="shared" si="7"/>
        <v>53.745205479452046</v>
      </c>
      <c r="Q24" t="str">
        <f t="shared" si="8"/>
        <v>A</v>
      </c>
      <c r="R24" s="6">
        <f t="shared" si="9"/>
        <v>137.34081694820372</v>
      </c>
      <c r="S24" s="6">
        <f t="shared" si="10"/>
        <v>10.987265355856296</v>
      </c>
      <c r="T24" s="6">
        <f t="shared" si="11"/>
        <v>274.68163389640739</v>
      </c>
      <c r="U24" s="6">
        <f t="shared" si="12"/>
        <v>68.670408474101862</v>
      </c>
      <c r="V24" s="6">
        <f t="shared" si="13"/>
        <v>343.35204237050925</v>
      </c>
      <c r="W24">
        <v>100</v>
      </c>
      <c r="X24" t="str">
        <f t="shared" si="14"/>
        <v>OK</v>
      </c>
      <c r="Y24" s="6">
        <f t="shared" si="15"/>
        <v>18</v>
      </c>
      <c r="Z24" s="6">
        <f t="shared" si="16"/>
        <v>72</v>
      </c>
    </row>
    <row r="25" spans="1:52" x14ac:dyDescent="0.3">
      <c r="A25" s="3" t="str">
        <f t="shared" si="0"/>
        <v>SKU024</v>
      </c>
      <c r="B25" s="3">
        <v>1886</v>
      </c>
      <c r="C25" s="3">
        <f t="shared" si="2"/>
        <v>2451.8000000000002</v>
      </c>
      <c r="D25" s="3">
        <v>74.98</v>
      </c>
      <c r="E25" s="3">
        <v>25</v>
      </c>
      <c r="F25" s="3" t="str" cm="1">
        <f t="array" aca="1" ref="F25" ca="1">INDEX({"Electronics","Clothing","Food","Furniture"}, RANDBETWEEN(1,4))</f>
        <v>Furniture</v>
      </c>
      <c r="G25" s="3">
        <v>50</v>
      </c>
      <c r="H25" s="3">
        <v>2</v>
      </c>
      <c r="I25" s="3">
        <f t="shared" si="1"/>
        <v>141412.28</v>
      </c>
      <c r="J25" s="3">
        <f t="shared" si="17"/>
        <v>3867705.6300000004</v>
      </c>
      <c r="K25" s="4">
        <f t="shared" si="3"/>
        <v>0.13271016586413678</v>
      </c>
      <c r="M25" s="6">
        <f t="shared" si="4"/>
        <v>307.08305065568175</v>
      </c>
      <c r="N25" s="6">
        <f t="shared" si="5"/>
        <v>350.12854782208206</v>
      </c>
      <c r="O25" s="6">
        <f t="shared" si="6"/>
        <v>5.1671232876712327</v>
      </c>
      <c r="P25" s="6">
        <f t="shared" si="7"/>
        <v>129.17808219178082</v>
      </c>
      <c r="Q25" t="str">
        <f t="shared" si="8"/>
        <v>A</v>
      </c>
      <c r="R25" s="6">
        <f t="shared" si="9"/>
        <v>153.54152532784087</v>
      </c>
      <c r="S25" s="6">
        <f t="shared" si="10"/>
        <v>12.283322026227269</v>
      </c>
      <c r="T25" s="6">
        <f t="shared" si="11"/>
        <v>307.08305065568175</v>
      </c>
      <c r="U25" s="6">
        <f t="shared" si="12"/>
        <v>76.770762663920436</v>
      </c>
      <c r="V25" s="6">
        <f t="shared" si="13"/>
        <v>383.85381331960218</v>
      </c>
      <c r="W25">
        <v>8</v>
      </c>
      <c r="X25" t="str">
        <f t="shared" si="14"/>
        <v>ALERT</v>
      </c>
      <c r="Y25" s="6">
        <f t="shared" si="15"/>
        <v>30</v>
      </c>
      <c r="Z25" s="6">
        <f t="shared" si="16"/>
        <v>150</v>
      </c>
    </row>
    <row r="26" spans="1:52" x14ac:dyDescent="0.3">
      <c r="A26" s="3" t="str">
        <f t="shared" si="0"/>
        <v>SKU025</v>
      </c>
      <c r="B26" s="3">
        <v>1848</v>
      </c>
      <c r="C26" s="3">
        <f t="shared" si="2"/>
        <v>2402.4</v>
      </c>
      <c r="D26" s="3">
        <v>76.400000000000006</v>
      </c>
      <c r="E26" s="3">
        <v>9</v>
      </c>
      <c r="F26" s="3" t="str" cm="1">
        <f t="array" aca="1" ref="F26" ca="1">INDEX({"Electronics","Clothing","Food","Furniture"}, RANDBETWEEN(1,4))</f>
        <v>Furniture</v>
      </c>
      <c r="G26" s="3">
        <v>50</v>
      </c>
      <c r="H26" s="3">
        <v>2</v>
      </c>
      <c r="I26" s="3">
        <f t="shared" si="1"/>
        <v>141187.20000000001</v>
      </c>
      <c r="J26" s="3">
        <f t="shared" si="17"/>
        <v>4008892.8300000005</v>
      </c>
      <c r="K26" s="4">
        <f t="shared" si="3"/>
        <v>0.13755463401201212</v>
      </c>
      <c r="M26" s="6">
        <f t="shared" si="4"/>
        <v>303.97368307141329</v>
      </c>
      <c r="N26" s="6">
        <f t="shared" si="5"/>
        <v>346.58332331489925</v>
      </c>
      <c r="O26" s="6">
        <f t="shared" si="6"/>
        <v>5.0630136986301366</v>
      </c>
      <c r="P26" s="6">
        <f t="shared" si="7"/>
        <v>45.56712328767123</v>
      </c>
      <c r="Q26" t="str">
        <f t="shared" si="8"/>
        <v>A</v>
      </c>
      <c r="R26" s="6">
        <f t="shared" si="9"/>
        <v>151.98684153570665</v>
      </c>
      <c r="S26" s="6">
        <f t="shared" si="10"/>
        <v>12.15894732285653</v>
      </c>
      <c r="T26" s="6">
        <f t="shared" si="11"/>
        <v>303.97368307141323</v>
      </c>
      <c r="U26" s="6">
        <f t="shared" si="12"/>
        <v>75.993420767853323</v>
      </c>
      <c r="V26" s="6">
        <f t="shared" si="13"/>
        <v>379.96710383926654</v>
      </c>
      <c r="W26">
        <v>63</v>
      </c>
      <c r="X26" t="str">
        <f t="shared" si="14"/>
        <v>OK</v>
      </c>
      <c r="Y26" s="6">
        <f t="shared" si="15"/>
        <v>14</v>
      </c>
      <c r="Z26" s="6">
        <f t="shared" si="16"/>
        <v>70</v>
      </c>
    </row>
    <row r="27" spans="1:52" x14ac:dyDescent="0.3">
      <c r="A27" s="3" t="str">
        <f t="shared" si="0"/>
        <v>SKU026</v>
      </c>
      <c r="B27" s="3">
        <v>1457</v>
      </c>
      <c r="C27" s="3">
        <f t="shared" si="2"/>
        <v>1894.1000000000001</v>
      </c>
      <c r="D27" s="3">
        <v>96.59</v>
      </c>
      <c r="E27" s="3">
        <v>15</v>
      </c>
      <c r="F27" s="3" t="str" cm="1">
        <f t="array" aca="1" ref="F27" ca="1">INDEX({"Electronics","Clothing","Food","Furniture"}, RANDBETWEEN(1,4))</f>
        <v>Electronics</v>
      </c>
      <c r="G27" s="3">
        <v>50</v>
      </c>
      <c r="H27" s="3">
        <v>2</v>
      </c>
      <c r="I27" s="3">
        <f t="shared" si="1"/>
        <v>140731.63</v>
      </c>
      <c r="J27" s="3">
        <f t="shared" si="17"/>
        <v>4149624.4600000004</v>
      </c>
      <c r="K27" s="4">
        <f t="shared" si="3"/>
        <v>0.14238347047122071</v>
      </c>
      <c r="M27" s="6">
        <f t="shared" si="4"/>
        <v>269.90739152531557</v>
      </c>
      <c r="N27" s="6">
        <f t="shared" si="5"/>
        <v>307.74177486977618</v>
      </c>
      <c r="O27" s="6">
        <f t="shared" si="6"/>
        <v>3.9917808219178084</v>
      </c>
      <c r="P27" s="6">
        <f t="shared" si="7"/>
        <v>59.876712328767127</v>
      </c>
      <c r="Q27" t="str">
        <f t="shared" si="8"/>
        <v>A</v>
      </c>
      <c r="R27" s="6">
        <f t="shared" si="9"/>
        <v>134.95369576265779</v>
      </c>
      <c r="S27" s="6">
        <f t="shared" si="10"/>
        <v>10.796295661012623</v>
      </c>
      <c r="T27" s="6">
        <f t="shared" si="11"/>
        <v>269.90739152531557</v>
      </c>
      <c r="U27" s="6">
        <f t="shared" si="12"/>
        <v>67.476847881328894</v>
      </c>
      <c r="V27" s="6">
        <f t="shared" si="13"/>
        <v>337.3842394066445</v>
      </c>
      <c r="W27">
        <v>20</v>
      </c>
      <c r="X27" t="str">
        <f t="shared" si="14"/>
        <v>ALERT</v>
      </c>
      <c r="Y27" s="6">
        <f t="shared" si="15"/>
        <v>20</v>
      </c>
      <c r="Z27" s="6">
        <f t="shared" si="16"/>
        <v>80</v>
      </c>
    </row>
    <row r="28" spans="1:52" x14ac:dyDescent="0.3">
      <c r="A28" s="3" t="str">
        <f t="shared" si="0"/>
        <v>SKU027</v>
      </c>
      <c r="B28" s="3">
        <v>1522</v>
      </c>
      <c r="C28" s="3">
        <f t="shared" si="2"/>
        <v>1978.6000000000001</v>
      </c>
      <c r="D28" s="3">
        <v>92.12</v>
      </c>
      <c r="E28" s="3">
        <v>1</v>
      </c>
      <c r="F28" s="3" t="str" cm="1">
        <f t="array" aca="1" ref="F28" ca="1">INDEX({"Electronics","Clothing","Food","Furniture"}, RANDBETWEEN(1,4))</f>
        <v>Food</v>
      </c>
      <c r="G28" s="3">
        <v>50</v>
      </c>
      <c r="H28" s="3">
        <v>2</v>
      </c>
      <c r="I28" s="3">
        <f t="shared" si="1"/>
        <v>140206.64000000001</v>
      </c>
      <c r="J28" s="3">
        <f t="shared" si="17"/>
        <v>4289831.1000000006</v>
      </c>
      <c r="K28" s="4">
        <f t="shared" si="3"/>
        <v>0.1471942932766919</v>
      </c>
      <c r="M28" s="6">
        <f t="shared" si="4"/>
        <v>275.86228448267445</v>
      </c>
      <c r="N28" s="6">
        <f t="shared" si="5"/>
        <v>314.53139747885268</v>
      </c>
      <c r="O28" s="6">
        <f t="shared" si="6"/>
        <v>4.1698630136986301</v>
      </c>
      <c r="P28" s="6">
        <f t="shared" si="7"/>
        <v>4.1698630136986301</v>
      </c>
      <c r="Q28" t="str">
        <f t="shared" si="8"/>
        <v>A</v>
      </c>
      <c r="R28" s="6">
        <f t="shared" si="9"/>
        <v>137.93114224133723</v>
      </c>
      <c r="S28" s="6">
        <f t="shared" si="10"/>
        <v>11.034491379306976</v>
      </c>
      <c r="T28" s="6">
        <f t="shared" si="11"/>
        <v>275.8622844826744</v>
      </c>
      <c r="U28" s="6">
        <f t="shared" si="12"/>
        <v>68.965571120668614</v>
      </c>
      <c r="V28" s="6">
        <f t="shared" si="13"/>
        <v>344.82785560334298</v>
      </c>
      <c r="W28">
        <v>2</v>
      </c>
      <c r="X28" t="str">
        <f t="shared" si="14"/>
        <v>ALERT</v>
      </c>
      <c r="Y28" s="6">
        <f t="shared" si="15"/>
        <v>6</v>
      </c>
      <c r="Z28" s="6">
        <f t="shared" si="16"/>
        <v>24</v>
      </c>
    </row>
    <row r="29" spans="1:52" x14ac:dyDescent="0.3">
      <c r="A29" s="3" t="str">
        <f t="shared" si="0"/>
        <v>SKU028</v>
      </c>
      <c r="B29" s="3">
        <v>1822</v>
      </c>
      <c r="C29" s="3">
        <f t="shared" si="2"/>
        <v>2368.6</v>
      </c>
      <c r="D29" s="3">
        <v>76.61</v>
      </c>
      <c r="E29" s="3">
        <v>20</v>
      </c>
      <c r="F29" s="3" t="str" cm="1">
        <f t="array" aca="1" ref="F29" ca="1">INDEX({"Electronics","Clothing","Food","Furniture"}, RANDBETWEEN(1,4))</f>
        <v>Furniture</v>
      </c>
      <c r="G29" s="3">
        <v>50</v>
      </c>
      <c r="H29" s="3">
        <v>2</v>
      </c>
      <c r="I29" s="3">
        <f t="shared" si="1"/>
        <v>139583.42000000001</v>
      </c>
      <c r="J29" s="3">
        <f t="shared" si="17"/>
        <v>4429414.5200000005</v>
      </c>
      <c r="K29" s="4">
        <f t="shared" si="3"/>
        <v>0.15198373192383202</v>
      </c>
      <c r="M29" s="6">
        <f t="shared" si="4"/>
        <v>301.82776545573137</v>
      </c>
      <c r="N29" s="6">
        <f t="shared" si="5"/>
        <v>344.13660078521144</v>
      </c>
      <c r="O29" s="6">
        <f t="shared" si="6"/>
        <v>4.9917808219178079</v>
      </c>
      <c r="P29" s="6">
        <f t="shared" si="7"/>
        <v>99.835616438356155</v>
      </c>
      <c r="Q29" t="str">
        <f t="shared" si="8"/>
        <v>A</v>
      </c>
      <c r="R29" s="6">
        <f t="shared" si="9"/>
        <v>150.91388272786568</v>
      </c>
      <c r="S29" s="6">
        <f t="shared" si="10"/>
        <v>12.073110618229256</v>
      </c>
      <c r="T29" s="6">
        <f t="shared" si="11"/>
        <v>301.82776545573142</v>
      </c>
      <c r="U29" s="6">
        <f t="shared" si="12"/>
        <v>75.456941363932842</v>
      </c>
      <c r="V29" s="6">
        <f t="shared" si="13"/>
        <v>377.28470681966428</v>
      </c>
      <c r="W29">
        <v>71</v>
      </c>
      <c r="X29" t="str">
        <f t="shared" si="14"/>
        <v>ALERT</v>
      </c>
      <c r="Y29" s="6">
        <f t="shared" si="15"/>
        <v>25</v>
      </c>
      <c r="Z29" s="6">
        <f t="shared" si="16"/>
        <v>125</v>
      </c>
    </row>
    <row r="30" spans="1:52" x14ac:dyDescent="0.3">
      <c r="A30" s="3" t="str">
        <f t="shared" si="0"/>
        <v>SKU029</v>
      </c>
      <c r="B30" s="3">
        <v>1470</v>
      </c>
      <c r="C30" s="3">
        <f t="shared" si="2"/>
        <v>1911</v>
      </c>
      <c r="D30" s="3">
        <v>94.84</v>
      </c>
      <c r="E30" s="3">
        <v>10</v>
      </c>
      <c r="F30" s="3" t="str" cm="1">
        <f t="array" aca="1" ref="F30" ca="1">INDEX({"Electronics","Clothing","Food","Furniture"}, RANDBETWEEN(1,4))</f>
        <v>Electronics</v>
      </c>
      <c r="G30" s="3">
        <v>50</v>
      </c>
      <c r="H30" s="3">
        <v>2</v>
      </c>
      <c r="I30" s="3">
        <f t="shared" si="1"/>
        <v>139414.80000000002</v>
      </c>
      <c r="J30" s="3">
        <f t="shared" si="17"/>
        <v>4568829.32</v>
      </c>
      <c r="K30" s="4">
        <f t="shared" si="3"/>
        <v>0.1567673848183041</v>
      </c>
      <c r="M30" s="6">
        <f t="shared" si="4"/>
        <v>271.10883423451918</v>
      </c>
      <c r="N30" s="6">
        <f t="shared" si="5"/>
        <v>309.11163032147465</v>
      </c>
      <c r="O30" s="6">
        <f t="shared" si="6"/>
        <v>4.0273972602739727</v>
      </c>
      <c r="P30" s="6">
        <f t="shared" si="7"/>
        <v>40.273972602739725</v>
      </c>
      <c r="Q30" t="str">
        <f t="shared" si="8"/>
        <v>A</v>
      </c>
      <c r="R30" s="6">
        <f t="shared" si="9"/>
        <v>135.55441711725959</v>
      </c>
      <c r="S30" s="6">
        <f t="shared" si="10"/>
        <v>10.844353369380768</v>
      </c>
      <c r="T30" s="6">
        <f t="shared" si="11"/>
        <v>271.10883423451918</v>
      </c>
      <c r="U30" s="6">
        <f t="shared" si="12"/>
        <v>67.777208558629795</v>
      </c>
      <c r="V30" s="6">
        <f t="shared" si="13"/>
        <v>338.88604279314899</v>
      </c>
      <c r="W30">
        <v>9</v>
      </c>
      <c r="X30" t="str">
        <f t="shared" si="14"/>
        <v>ALERT</v>
      </c>
      <c r="Y30" s="6">
        <f t="shared" si="15"/>
        <v>15</v>
      </c>
      <c r="Z30" s="6">
        <f t="shared" si="16"/>
        <v>60</v>
      </c>
    </row>
    <row r="31" spans="1:52" x14ac:dyDescent="0.3">
      <c r="A31" s="3" t="str">
        <f t="shared" si="0"/>
        <v>SKU030</v>
      </c>
      <c r="B31" s="3">
        <v>1415</v>
      </c>
      <c r="C31" s="3">
        <f t="shared" si="2"/>
        <v>1839.5</v>
      </c>
      <c r="D31" s="3">
        <v>98.04</v>
      </c>
      <c r="E31" s="3">
        <v>11</v>
      </c>
      <c r="F31" s="3" t="str" cm="1">
        <f t="array" aca="1" ref="F31" ca="1">INDEX({"Electronics","Clothing","Food","Furniture"}, RANDBETWEEN(1,4))</f>
        <v>Food</v>
      </c>
      <c r="G31" s="3">
        <v>50</v>
      </c>
      <c r="H31" s="3">
        <v>2</v>
      </c>
      <c r="I31" s="3">
        <f t="shared" si="1"/>
        <v>138726.6</v>
      </c>
      <c r="J31" s="3">
        <f t="shared" si="17"/>
        <v>4707555.92</v>
      </c>
      <c r="K31" s="4">
        <f t="shared" si="3"/>
        <v>0.16152742393631933</v>
      </c>
      <c r="M31" s="6">
        <f t="shared" si="4"/>
        <v>265.98872156540773</v>
      </c>
      <c r="N31" s="6">
        <f t="shared" si="5"/>
        <v>303.27380368241501</v>
      </c>
      <c r="O31" s="6">
        <f t="shared" si="6"/>
        <v>3.8767123287671232</v>
      </c>
      <c r="P31" s="6">
        <f t="shared" si="7"/>
        <v>42.643835616438352</v>
      </c>
      <c r="Q31" t="str">
        <f t="shared" si="8"/>
        <v>A</v>
      </c>
      <c r="R31" s="6">
        <f t="shared" si="9"/>
        <v>132.99436078270386</v>
      </c>
      <c r="S31" s="6">
        <f t="shared" si="10"/>
        <v>10.639548862616309</v>
      </c>
      <c r="T31" s="6">
        <f t="shared" si="11"/>
        <v>265.98872156540773</v>
      </c>
      <c r="U31" s="6">
        <f t="shared" si="12"/>
        <v>66.497180391351932</v>
      </c>
      <c r="V31" s="6">
        <f t="shared" si="13"/>
        <v>332.48590195675968</v>
      </c>
      <c r="W31">
        <v>82</v>
      </c>
      <c r="X31" t="str">
        <f t="shared" si="14"/>
        <v>OK</v>
      </c>
      <c r="Y31" s="6">
        <f t="shared" si="15"/>
        <v>16</v>
      </c>
      <c r="Z31" s="6">
        <f t="shared" si="16"/>
        <v>64</v>
      </c>
    </row>
    <row r="32" spans="1:52" x14ac:dyDescent="0.3">
      <c r="A32" s="3" t="str">
        <f t="shared" si="0"/>
        <v>SKU031</v>
      </c>
      <c r="B32" s="3">
        <v>1400</v>
      </c>
      <c r="C32" s="3">
        <f t="shared" si="2"/>
        <v>1820</v>
      </c>
      <c r="D32" s="3">
        <v>98.91</v>
      </c>
      <c r="E32" s="3">
        <v>6</v>
      </c>
      <c r="F32" s="3" t="str" cm="1">
        <f t="array" aca="1" ref="F32" ca="1">INDEX({"Electronics","Clothing","Food","Furniture"}, RANDBETWEEN(1,4))</f>
        <v>Food</v>
      </c>
      <c r="G32" s="3">
        <v>50</v>
      </c>
      <c r="H32" s="3">
        <v>2</v>
      </c>
      <c r="I32" s="3">
        <f t="shared" si="1"/>
        <v>138474</v>
      </c>
      <c r="J32" s="3">
        <f t="shared" si="17"/>
        <v>4846029.92</v>
      </c>
      <c r="K32" s="4">
        <f t="shared" si="3"/>
        <v>0.16627879574841622</v>
      </c>
      <c r="M32" s="6">
        <f t="shared" si="4"/>
        <v>264.57513110645908</v>
      </c>
      <c r="N32" s="6">
        <f t="shared" si="5"/>
        <v>301.66206257996714</v>
      </c>
      <c r="O32" s="6">
        <f t="shared" si="6"/>
        <v>3.8356164383561642</v>
      </c>
      <c r="P32" s="6">
        <f t="shared" si="7"/>
        <v>23.013698630136986</v>
      </c>
      <c r="Q32" t="str">
        <f t="shared" si="8"/>
        <v>A</v>
      </c>
      <c r="R32" s="6">
        <f t="shared" si="9"/>
        <v>132.28756555322954</v>
      </c>
      <c r="S32" s="6">
        <f t="shared" si="10"/>
        <v>10.583005244258361</v>
      </c>
      <c r="T32" s="6">
        <f t="shared" si="11"/>
        <v>264.57513110645903</v>
      </c>
      <c r="U32" s="6">
        <f t="shared" si="12"/>
        <v>66.143782776614771</v>
      </c>
      <c r="V32" s="6">
        <f t="shared" si="13"/>
        <v>330.71891388307381</v>
      </c>
      <c r="W32">
        <v>45</v>
      </c>
      <c r="X32" t="str">
        <f t="shared" si="14"/>
        <v>OK</v>
      </c>
      <c r="Y32" s="6">
        <f t="shared" si="15"/>
        <v>11</v>
      </c>
      <c r="Z32" s="6">
        <f t="shared" si="16"/>
        <v>44</v>
      </c>
    </row>
    <row r="33" spans="1:26" x14ac:dyDescent="0.3">
      <c r="A33" s="3" t="str">
        <f t="shared" si="0"/>
        <v>SKU032</v>
      </c>
      <c r="B33" s="3">
        <v>1535</v>
      </c>
      <c r="C33" s="3">
        <f t="shared" si="2"/>
        <v>1995.5</v>
      </c>
      <c r="D33" s="3">
        <v>89.07</v>
      </c>
      <c r="E33" s="3">
        <v>30</v>
      </c>
      <c r="F33" s="3" t="str" cm="1">
        <f t="array" aca="1" ref="F33" ca="1">INDEX({"Electronics","Clothing","Food","Furniture"}, RANDBETWEEN(1,4))</f>
        <v>Electronics</v>
      </c>
      <c r="G33" s="3">
        <v>50</v>
      </c>
      <c r="H33" s="3">
        <v>2</v>
      </c>
      <c r="I33" s="3">
        <f t="shared" si="1"/>
        <v>136722.44999999998</v>
      </c>
      <c r="J33" s="3">
        <f t="shared" si="17"/>
        <v>4982752.37</v>
      </c>
      <c r="K33" s="4">
        <f t="shared" si="3"/>
        <v>0.1709700677201281</v>
      </c>
      <c r="M33" s="6">
        <f t="shared" si="4"/>
        <v>277.03790354390139</v>
      </c>
      <c r="N33" s="6">
        <f t="shared" si="5"/>
        <v>315.87180944174173</v>
      </c>
      <c r="O33" s="6">
        <f t="shared" si="6"/>
        <v>4.2054794520547949</v>
      </c>
      <c r="P33" s="6">
        <f t="shared" si="7"/>
        <v>126.16438356164385</v>
      </c>
      <c r="Q33" t="str">
        <f t="shared" si="8"/>
        <v>A</v>
      </c>
      <c r="R33" s="6">
        <f t="shared" si="9"/>
        <v>138.5189517719507</v>
      </c>
      <c r="S33" s="6">
        <f t="shared" si="10"/>
        <v>11.081516141756055</v>
      </c>
      <c r="T33" s="6">
        <f t="shared" si="11"/>
        <v>277.03790354390139</v>
      </c>
      <c r="U33" s="6">
        <f t="shared" si="12"/>
        <v>69.259475885975348</v>
      </c>
      <c r="V33" s="6">
        <f t="shared" si="13"/>
        <v>346.29737942987674</v>
      </c>
      <c r="W33">
        <v>165</v>
      </c>
      <c r="X33" t="str">
        <f t="shared" si="14"/>
        <v>OK</v>
      </c>
      <c r="Y33" s="6">
        <f t="shared" si="15"/>
        <v>35</v>
      </c>
      <c r="Z33" s="6">
        <f t="shared" si="16"/>
        <v>140</v>
      </c>
    </row>
    <row r="34" spans="1:26" x14ac:dyDescent="0.3">
      <c r="A34" s="3" t="str">
        <f t="shared" si="0"/>
        <v>SKU033</v>
      </c>
      <c r="B34" s="3">
        <v>1723</v>
      </c>
      <c r="C34" s="3">
        <f t="shared" si="2"/>
        <v>2239.9</v>
      </c>
      <c r="D34" s="3">
        <v>78.75</v>
      </c>
      <c r="E34" s="3">
        <v>14</v>
      </c>
      <c r="F34" s="3" t="str" cm="1">
        <f t="array" aca="1" ref="F34" ca="1">INDEX({"Electronics","Clothing","Food","Furniture"}, RANDBETWEEN(1,4))</f>
        <v>Food</v>
      </c>
      <c r="G34" s="3">
        <v>50</v>
      </c>
      <c r="H34" s="3">
        <v>2</v>
      </c>
      <c r="I34" s="3">
        <f t="shared" si="1"/>
        <v>135686.25</v>
      </c>
      <c r="J34" s="3">
        <f t="shared" si="17"/>
        <v>5118438.62</v>
      </c>
      <c r="K34" s="4">
        <f t="shared" si="3"/>
        <v>0.17562578520889227</v>
      </c>
      <c r="M34" s="6">
        <f t="shared" si="4"/>
        <v>293.51320242878342</v>
      </c>
      <c r="N34" s="6">
        <f t="shared" si="5"/>
        <v>334.65654035144746</v>
      </c>
      <c r="O34" s="6">
        <f t="shared" si="6"/>
        <v>4.720547945205479</v>
      </c>
      <c r="P34" s="6">
        <f t="shared" si="7"/>
        <v>66.087671232876701</v>
      </c>
      <c r="Q34" t="str">
        <f t="shared" si="8"/>
        <v>A</v>
      </c>
      <c r="R34" s="6">
        <f t="shared" si="9"/>
        <v>146.75660121439171</v>
      </c>
      <c r="S34" s="6">
        <f t="shared" si="10"/>
        <v>11.740528097151337</v>
      </c>
      <c r="T34" s="6">
        <f t="shared" si="11"/>
        <v>293.51320242878342</v>
      </c>
      <c r="U34" s="6">
        <f t="shared" si="12"/>
        <v>73.378300607195854</v>
      </c>
      <c r="V34" s="6">
        <f t="shared" si="13"/>
        <v>366.89150303597927</v>
      </c>
      <c r="W34">
        <v>78</v>
      </c>
      <c r="X34" t="str">
        <f t="shared" si="14"/>
        <v>OK</v>
      </c>
      <c r="Y34" s="6">
        <f t="shared" si="15"/>
        <v>19</v>
      </c>
      <c r="Z34" s="6">
        <f t="shared" si="16"/>
        <v>95</v>
      </c>
    </row>
    <row r="35" spans="1:26" x14ac:dyDescent="0.3">
      <c r="A35" s="3" t="str">
        <f t="shared" si="0"/>
        <v>SKU034</v>
      </c>
      <c r="B35" s="3">
        <v>1589</v>
      </c>
      <c r="C35" s="3">
        <f t="shared" si="2"/>
        <v>2065.7000000000003</v>
      </c>
      <c r="D35" s="3">
        <v>85.28</v>
      </c>
      <c r="E35" s="3">
        <v>10</v>
      </c>
      <c r="F35" s="3" t="str" cm="1">
        <f t="array" aca="1" ref="F35" ca="1">INDEX({"Electronics","Clothing","Food","Furniture"}, RANDBETWEEN(1,4))</f>
        <v>Food</v>
      </c>
      <c r="G35" s="3">
        <v>50</v>
      </c>
      <c r="H35" s="3">
        <v>2</v>
      </c>
      <c r="I35" s="3">
        <f t="shared" si="1"/>
        <v>135509.92000000001</v>
      </c>
      <c r="J35" s="3">
        <f t="shared" si="17"/>
        <v>5253948.54</v>
      </c>
      <c r="K35" s="4">
        <f t="shared" si="3"/>
        <v>0.18027545239657736</v>
      </c>
      <c r="M35" s="6">
        <f t="shared" si="4"/>
        <v>281.86876378910807</v>
      </c>
      <c r="N35" s="6">
        <f t="shared" si="5"/>
        <v>321.3798375754148</v>
      </c>
      <c r="O35" s="6">
        <f t="shared" si="6"/>
        <v>4.353424657534247</v>
      </c>
      <c r="P35" s="6">
        <f t="shared" si="7"/>
        <v>43.534246575342472</v>
      </c>
      <c r="Q35" t="str">
        <f t="shared" si="8"/>
        <v>A</v>
      </c>
      <c r="R35" s="6">
        <f t="shared" si="9"/>
        <v>140.93438189455404</v>
      </c>
      <c r="S35" s="6">
        <f t="shared" si="10"/>
        <v>11.274750551564322</v>
      </c>
      <c r="T35" s="6">
        <f t="shared" si="11"/>
        <v>281.86876378910807</v>
      </c>
      <c r="U35" s="6">
        <f t="shared" si="12"/>
        <v>70.467190947277018</v>
      </c>
      <c r="V35" s="6">
        <f t="shared" si="13"/>
        <v>352.33595473638508</v>
      </c>
      <c r="W35">
        <v>48</v>
      </c>
      <c r="X35" t="str">
        <f t="shared" si="14"/>
        <v>OK</v>
      </c>
      <c r="Y35" s="6">
        <f t="shared" si="15"/>
        <v>15</v>
      </c>
      <c r="Z35" s="6">
        <f t="shared" si="16"/>
        <v>60</v>
      </c>
    </row>
    <row r="36" spans="1:26" x14ac:dyDescent="0.3">
      <c r="A36" s="3" t="str">
        <f t="shared" si="0"/>
        <v>SKU035</v>
      </c>
      <c r="B36" s="3">
        <v>1956</v>
      </c>
      <c r="C36" s="3">
        <f t="shared" si="2"/>
        <v>2542.8000000000002</v>
      </c>
      <c r="D36" s="3">
        <v>69.02</v>
      </c>
      <c r="E36" s="3">
        <v>12</v>
      </c>
      <c r="F36" s="3" t="str" cm="1">
        <f t="array" aca="1" ref="F36" ca="1">INDEX({"Electronics","Clothing","Food","Furniture"}, RANDBETWEEN(1,4))</f>
        <v>Food</v>
      </c>
      <c r="G36" s="3">
        <v>50</v>
      </c>
      <c r="H36" s="3">
        <v>2</v>
      </c>
      <c r="I36" s="3">
        <f t="shared" si="1"/>
        <v>135003.12</v>
      </c>
      <c r="J36" s="3">
        <f t="shared" si="17"/>
        <v>5388951.6600000001</v>
      </c>
      <c r="K36" s="4">
        <f t="shared" si="3"/>
        <v>0.18490773007262584</v>
      </c>
      <c r="M36" s="6">
        <f t="shared" si="4"/>
        <v>312.72991542223781</v>
      </c>
      <c r="N36" s="6">
        <f t="shared" si="5"/>
        <v>356.56696425776744</v>
      </c>
      <c r="O36" s="6">
        <f t="shared" si="6"/>
        <v>5.3589041095890408</v>
      </c>
      <c r="P36" s="6">
        <f t="shared" si="7"/>
        <v>64.30684931506849</v>
      </c>
      <c r="Q36" t="str">
        <f t="shared" si="8"/>
        <v>A</v>
      </c>
      <c r="R36" s="6">
        <f t="shared" si="9"/>
        <v>156.3649577111189</v>
      </c>
      <c r="S36" s="6">
        <f t="shared" si="10"/>
        <v>12.509196616889511</v>
      </c>
      <c r="T36" s="6">
        <f t="shared" si="11"/>
        <v>312.72991542223781</v>
      </c>
      <c r="U36" s="6">
        <f t="shared" si="12"/>
        <v>78.182478855559452</v>
      </c>
      <c r="V36" s="6">
        <f t="shared" si="13"/>
        <v>390.91239427779726</v>
      </c>
      <c r="W36">
        <v>66</v>
      </c>
      <c r="X36" t="str">
        <f t="shared" si="14"/>
        <v>OK</v>
      </c>
      <c r="Y36" s="6">
        <f t="shared" si="15"/>
        <v>17</v>
      </c>
      <c r="Z36" s="6">
        <f t="shared" si="16"/>
        <v>85</v>
      </c>
    </row>
    <row r="37" spans="1:26" x14ac:dyDescent="0.3">
      <c r="A37" s="3" t="str">
        <f t="shared" si="0"/>
        <v>SKU036</v>
      </c>
      <c r="B37" s="3">
        <v>1604</v>
      </c>
      <c r="C37" s="3">
        <f t="shared" si="2"/>
        <v>2085.2000000000003</v>
      </c>
      <c r="D37" s="3">
        <v>83.76</v>
      </c>
      <c r="E37" s="3">
        <v>23</v>
      </c>
      <c r="F37" s="3" t="str" cm="1">
        <f t="array" aca="1" ref="F37" ca="1">INDEX({"Electronics","Clothing","Food","Furniture"}, RANDBETWEEN(1,4))</f>
        <v>Electronics</v>
      </c>
      <c r="G37" s="3">
        <v>50</v>
      </c>
      <c r="H37" s="3">
        <v>2</v>
      </c>
      <c r="I37" s="3">
        <f t="shared" si="1"/>
        <v>134351.04000000001</v>
      </c>
      <c r="J37" s="3">
        <f t="shared" si="17"/>
        <v>5523302.7000000002</v>
      </c>
      <c r="K37" s="4">
        <f t="shared" si="3"/>
        <v>0.1895176333352015</v>
      </c>
      <c r="M37" s="6">
        <f t="shared" si="4"/>
        <v>283.1960451701259</v>
      </c>
      <c r="N37" s="6">
        <f t="shared" si="5"/>
        <v>322.893171188243</v>
      </c>
      <c r="O37" s="6">
        <f t="shared" si="6"/>
        <v>4.3945205479452056</v>
      </c>
      <c r="P37" s="6">
        <f t="shared" si="7"/>
        <v>101.07397260273973</v>
      </c>
      <c r="Q37" t="str">
        <f t="shared" si="8"/>
        <v>A</v>
      </c>
      <c r="R37" s="6">
        <f t="shared" si="9"/>
        <v>141.59802258506295</v>
      </c>
      <c r="S37" s="6">
        <f t="shared" si="10"/>
        <v>11.327841806805038</v>
      </c>
      <c r="T37" s="6">
        <f t="shared" si="11"/>
        <v>283.19604517012596</v>
      </c>
      <c r="U37" s="6">
        <f t="shared" si="12"/>
        <v>70.799011292531475</v>
      </c>
      <c r="V37" s="6">
        <f t="shared" si="13"/>
        <v>353.99505646265743</v>
      </c>
      <c r="W37">
        <v>120</v>
      </c>
      <c r="X37" t="str">
        <f t="shared" si="14"/>
        <v>OK</v>
      </c>
      <c r="Y37" s="6">
        <f t="shared" si="15"/>
        <v>28</v>
      </c>
      <c r="Z37" s="6">
        <f t="shared" si="16"/>
        <v>112</v>
      </c>
    </row>
    <row r="38" spans="1:26" x14ac:dyDescent="0.3">
      <c r="A38" s="3" t="str">
        <f t="shared" si="0"/>
        <v>SKU037</v>
      </c>
      <c r="B38" s="3">
        <v>1886</v>
      </c>
      <c r="C38" s="3">
        <f t="shared" si="2"/>
        <v>2451.8000000000002</v>
      </c>
      <c r="D38" s="3">
        <v>71.08</v>
      </c>
      <c r="E38" s="3">
        <v>14</v>
      </c>
      <c r="F38" s="3" t="str" cm="1">
        <f t="array" aca="1" ref="F38" ca="1">INDEX({"Electronics","Clothing","Food","Furniture"}, RANDBETWEEN(1,4))</f>
        <v>Clothing</v>
      </c>
      <c r="G38" s="3">
        <v>50</v>
      </c>
      <c r="H38" s="3">
        <v>2</v>
      </c>
      <c r="I38" s="3">
        <f t="shared" si="1"/>
        <v>134056.88</v>
      </c>
      <c r="J38" s="3">
        <f t="shared" si="17"/>
        <v>5657359.5800000001</v>
      </c>
      <c r="K38" s="4">
        <f t="shared" si="3"/>
        <v>0.19411744326955493</v>
      </c>
      <c r="M38" s="6">
        <f t="shared" si="4"/>
        <v>307.08305065568175</v>
      </c>
      <c r="N38" s="6">
        <f t="shared" si="5"/>
        <v>350.12854782208206</v>
      </c>
      <c r="O38" s="6">
        <f t="shared" si="6"/>
        <v>5.1671232876712327</v>
      </c>
      <c r="P38" s="6">
        <f t="shared" si="7"/>
        <v>72.339726027397262</v>
      </c>
      <c r="Q38" t="str">
        <f t="shared" si="8"/>
        <v>A</v>
      </c>
      <c r="R38" s="6">
        <f t="shared" si="9"/>
        <v>153.54152532784087</v>
      </c>
      <c r="S38" s="6">
        <f t="shared" si="10"/>
        <v>12.283322026227269</v>
      </c>
      <c r="T38" s="6">
        <f t="shared" si="11"/>
        <v>307.08305065568175</v>
      </c>
      <c r="U38" s="6">
        <f t="shared" si="12"/>
        <v>76.770762663920436</v>
      </c>
      <c r="V38" s="6">
        <f t="shared" si="13"/>
        <v>383.85381331960218</v>
      </c>
      <c r="W38">
        <v>105</v>
      </c>
      <c r="X38" t="str">
        <f t="shared" si="14"/>
        <v>OK</v>
      </c>
      <c r="Y38" s="6">
        <f t="shared" si="15"/>
        <v>19</v>
      </c>
      <c r="Z38" s="6">
        <f t="shared" si="16"/>
        <v>95</v>
      </c>
    </row>
    <row r="39" spans="1:26" x14ac:dyDescent="0.3">
      <c r="A39" s="3" t="str">
        <f t="shared" si="0"/>
        <v>SKU038</v>
      </c>
      <c r="B39" s="3">
        <v>1528</v>
      </c>
      <c r="C39" s="3">
        <f t="shared" si="2"/>
        <v>1986.4</v>
      </c>
      <c r="D39" s="3">
        <v>86.56</v>
      </c>
      <c r="E39" s="3">
        <v>5</v>
      </c>
      <c r="F39" s="3" t="str" cm="1">
        <f t="array" aca="1" ref="F39" ca="1">INDEX({"Electronics","Clothing","Food","Furniture"}, RANDBETWEEN(1,4))</f>
        <v>Food</v>
      </c>
      <c r="G39" s="3">
        <v>50</v>
      </c>
      <c r="H39" s="3">
        <v>2</v>
      </c>
      <c r="I39" s="3">
        <f t="shared" si="1"/>
        <v>132263.67999999999</v>
      </c>
      <c r="J39" s="3">
        <f t="shared" si="17"/>
        <v>5789623.2599999998</v>
      </c>
      <c r="K39" s="4">
        <f t="shared" si="3"/>
        <v>0.19865572425310565</v>
      </c>
      <c r="M39" s="6">
        <f t="shared" si="4"/>
        <v>276.40549922170504</v>
      </c>
      <c r="N39" s="6">
        <f t="shared" si="5"/>
        <v>315.15075757484703</v>
      </c>
      <c r="O39" s="6">
        <f t="shared" si="6"/>
        <v>4.1863013698630134</v>
      </c>
      <c r="P39" s="6">
        <f t="shared" si="7"/>
        <v>20.931506849315067</v>
      </c>
      <c r="Q39" t="str">
        <f t="shared" si="8"/>
        <v>A</v>
      </c>
      <c r="R39" s="6">
        <f t="shared" si="9"/>
        <v>138.20274961085252</v>
      </c>
      <c r="S39" s="6">
        <f t="shared" si="10"/>
        <v>11.056219968868204</v>
      </c>
      <c r="T39" s="6">
        <f t="shared" si="11"/>
        <v>276.4054992217051</v>
      </c>
      <c r="U39" s="6">
        <f t="shared" si="12"/>
        <v>69.101374805426261</v>
      </c>
      <c r="V39" s="6">
        <f t="shared" si="13"/>
        <v>345.50687402713135</v>
      </c>
      <c r="W39">
        <v>38</v>
      </c>
      <c r="X39" t="str">
        <f t="shared" si="14"/>
        <v>OK</v>
      </c>
      <c r="Y39" s="6">
        <f t="shared" si="15"/>
        <v>10</v>
      </c>
      <c r="Z39" s="6">
        <f t="shared" si="16"/>
        <v>40</v>
      </c>
    </row>
    <row r="40" spans="1:26" x14ac:dyDescent="0.3">
      <c r="A40" s="3" t="str">
        <f t="shared" si="0"/>
        <v>SKU039</v>
      </c>
      <c r="B40" s="3">
        <v>1924</v>
      </c>
      <c r="C40" s="3">
        <f t="shared" si="2"/>
        <v>2501.2000000000003</v>
      </c>
      <c r="D40" s="3">
        <v>68.23</v>
      </c>
      <c r="E40" s="3">
        <v>13</v>
      </c>
      <c r="F40" s="3" t="str" cm="1">
        <f t="array" aca="1" ref="F40" ca="1">INDEX({"Electronics","Clothing","Food","Furniture"}, RANDBETWEEN(1,4))</f>
        <v>Electronics</v>
      </c>
      <c r="G40" s="3">
        <v>50</v>
      </c>
      <c r="H40" s="3">
        <v>2</v>
      </c>
      <c r="I40" s="3">
        <f t="shared" si="1"/>
        <v>131274.52000000002</v>
      </c>
      <c r="J40" s="3">
        <f t="shared" si="17"/>
        <v>5920897.7799999993</v>
      </c>
      <c r="K40" s="4">
        <f t="shared" si="3"/>
        <v>0.20316006480782747</v>
      </c>
      <c r="M40" s="6">
        <f t="shared" si="4"/>
        <v>310.16124838541646</v>
      </c>
      <c r="N40" s="6">
        <f t="shared" si="5"/>
        <v>353.63823322712153</v>
      </c>
      <c r="O40" s="6">
        <f t="shared" si="6"/>
        <v>5.2712328767123289</v>
      </c>
      <c r="P40" s="6">
        <f t="shared" si="7"/>
        <v>68.526027397260279</v>
      </c>
      <c r="Q40" t="str">
        <f t="shared" si="8"/>
        <v>A</v>
      </c>
      <c r="R40" s="6">
        <f t="shared" si="9"/>
        <v>155.08062419270823</v>
      </c>
      <c r="S40" s="6">
        <f t="shared" si="10"/>
        <v>12.406449935416658</v>
      </c>
      <c r="T40" s="6">
        <f t="shared" si="11"/>
        <v>310.16124838541646</v>
      </c>
      <c r="U40" s="6">
        <f t="shared" si="12"/>
        <v>77.540312096354114</v>
      </c>
      <c r="V40" s="6">
        <f t="shared" si="13"/>
        <v>387.70156048177057</v>
      </c>
      <c r="W40">
        <v>93</v>
      </c>
      <c r="X40" t="str">
        <f t="shared" si="14"/>
        <v>OK</v>
      </c>
      <c r="Y40" s="6">
        <f t="shared" si="15"/>
        <v>18</v>
      </c>
      <c r="Z40" s="6">
        <f t="shared" si="16"/>
        <v>90</v>
      </c>
    </row>
    <row r="41" spans="1:26" x14ac:dyDescent="0.3">
      <c r="A41" s="3" t="str">
        <f t="shared" si="0"/>
        <v>SKU040</v>
      </c>
      <c r="B41" s="3">
        <v>1949</v>
      </c>
      <c r="C41" s="3">
        <f t="shared" si="2"/>
        <v>2533.7000000000003</v>
      </c>
      <c r="D41" s="3">
        <v>66.84</v>
      </c>
      <c r="E41" s="3">
        <v>23</v>
      </c>
      <c r="F41" s="3" t="str" cm="1">
        <f t="array" aca="1" ref="F41" ca="1">INDEX({"Electronics","Clothing","Food","Furniture"}, RANDBETWEEN(1,4))</f>
        <v>Food</v>
      </c>
      <c r="G41" s="3">
        <v>50</v>
      </c>
      <c r="H41" s="3">
        <v>2</v>
      </c>
      <c r="I41" s="3">
        <f t="shared" si="1"/>
        <v>130271.16</v>
      </c>
      <c r="J41" s="3">
        <f t="shared" si="17"/>
        <v>6051168.9399999995</v>
      </c>
      <c r="K41" s="4">
        <f t="shared" si="3"/>
        <v>0.20762997769799577</v>
      </c>
      <c r="M41" s="6">
        <f t="shared" si="4"/>
        <v>312.16982557575932</v>
      </c>
      <c r="N41" s="6">
        <f t="shared" si="5"/>
        <v>355.92836357896516</v>
      </c>
      <c r="O41" s="6">
        <f t="shared" si="6"/>
        <v>5.3397260273972602</v>
      </c>
      <c r="P41" s="6">
        <f t="shared" si="7"/>
        <v>122.81369863013698</v>
      </c>
      <c r="Q41" t="str">
        <f t="shared" si="8"/>
        <v>A</v>
      </c>
      <c r="R41" s="6">
        <f t="shared" si="9"/>
        <v>156.08491278787966</v>
      </c>
      <c r="S41" s="6">
        <f t="shared" si="10"/>
        <v>12.486793023030373</v>
      </c>
      <c r="T41" s="6">
        <f t="shared" si="11"/>
        <v>312.16982557575932</v>
      </c>
      <c r="U41" s="6">
        <f t="shared" si="12"/>
        <v>78.04245639393983</v>
      </c>
      <c r="V41" s="6">
        <f t="shared" si="13"/>
        <v>390.21228196969912</v>
      </c>
      <c r="W41">
        <v>90</v>
      </c>
      <c r="X41" t="str">
        <f t="shared" si="14"/>
        <v>ALERT</v>
      </c>
      <c r="Y41" s="6">
        <f t="shared" si="15"/>
        <v>28</v>
      </c>
      <c r="Z41" s="6">
        <f t="shared" si="16"/>
        <v>140</v>
      </c>
    </row>
    <row r="42" spans="1:26" x14ac:dyDescent="0.3">
      <c r="A42" s="3" t="str">
        <f t="shared" si="0"/>
        <v>SKU041</v>
      </c>
      <c r="B42" s="3">
        <v>1341</v>
      </c>
      <c r="C42" s="3">
        <f t="shared" si="2"/>
        <v>1743.3</v>
      </c>
      <c r="D42" s="3">
        <v>96.55</v>
      </c>
      <c r="E42" s="3">
        <v>4</v>
      </c>
      <c r="F42" s="3" t="str" cm="1">
        <f t="array" aca="1" ref="F42" ca="1">INDEX({"Electronics","Clothing","Food","Furniture"}, RANDBETWEEN(1,4))</f>
        <v>Furniture</v>
      </c>
      <c r="G42" s="3">
        <v>50</v>
      </c>
      <c r="H42" s="3">
        <v>2</v>
      </c>
      <c r="I42" s="3">
        <f t="shared" si="1"/>
        <v>129473.55</v>
      </c>
      <c r="J42" s="3">
        <f t="shared" si="17"/>
        <v>6180642.4899999993</v>
      </c>
      <c r="K42" s="4">
        <f t="shared" si="3"/>
        <v>0.21207252269476135</v>
      </c>
      <c r="M42" s="6">
        <f t="shared" si="4"/>
        <v>258.94014752448101</v>
      </c>
      <c r="N42" s="6">
        <f t="shared" si="5"/>
        <v>295.23719277895867</v>
      </c>
      <c r="O42" s="6">
        <f t="shared" si="6"/>
        <v>3.6739726027397261</v>
      </c>
      <c r="P42" s="6">
        <f t="shared" si="7"/>
        <v>14.695890410958905</v>
      </c>
      <c r="Q42" t="str">
        <f t="shared" si="8"/>
        <v>A</v>
      </c>
      <c r="R42" s="6">
        <f t="shared" si="9"/>
        <v>129.4700737622405</v>
      </c>
      <c r="S42" s="6">
        <f t="shared" si="10"/>
        <v>10.357605900979243</v>
      </c>
      <c r="T42" s="6">
        <f t="shared" si="11"/>
        <v>258.94014752448106</v>
      </c>
      <c r="U42" s="6">
        <f t="shared" si="12"/>
        <v>64.735036881120251</v>
      </c>
      <c r="V42" s="6">
        <f t="shared" si="13"/>
        <v>323.67518440560133</v>
      </c>
      <c r="W42">
        <v>15</v>
      </c>
      <c r="X42" t="str">
        <f t="shared" si="14"/>
        <v>OK</v>
      </c>
      <c r="Y42" s="6">
        <f t="shared" si="15"/>
        <v>9</v>
      </c>
      <c r="Z42" s="6">
        <f t="shared" si="16"/>
        <v>36</v>
      </c>
    </row>
    <row r="43" spans="1:26" x14ac:dyDescent="0.3">
      <c r="A43" s="3" t="str">
        <f t="shared" si="0"/>
        <v>SKU042</v>
      </c>
      <c r="B43" s="3">
        <v>1697</v>
      </c>
      <c r="C43" s="3">
        <f t="shared" si="2"/>
        <v>2206.1</v>
      </c>
      <c r="D43" s="3">
        <v>76.180000000000007</v>
      </c>
      <c r="E43" s="3">
        <v>26</v>
      </c>
      <c r="F43" s="3" t="str" cm="1">
        <f t="array" aca="1" ref="F43" ca="1">INDEX({"Electronics","Clothing","Food","Furniture"}, RANDBETWEEN(1,4))</f>
        <v>Clothing</v>
      </c>
      <c r="G43" s="3">
        <v>50</v>
      </c>
      <c r="H43" s="3">
        <v>2</v>
      </c>
      <c r="I43" s="3">
        <f t="shared" si="1"/>
        <v>129277.46</v>
      </c>
      <c r="J43" s="3">
        <f t="shared" si="17"/>
        <v>6309919.9499999993</v>
      </c>
      <c r="K43" s="4">
        <f t="shared" si="3"/>
        <v>0.21650833937791836</v>
      </c>
      <c r="M43" s="6">
        <f t="shared" si="4"/>
        <v>291.29023327259017</v>
      </c>
      <c r="N43" s="6">
        <f t="shared" si="5"/>
        <v>332.12196554880256</v>
      </c>
      <c r="O43" s="6">
        <f t="shared" si="6"/>
        <v>4.6493150684931503</v>
      </c>
      <c r="P43" s="6">
        <f t="shared" si="7"/>
        <v>120.88219178082191</v>
      </c>
      <c r="Q43" t="str">
        <f t="shared" si="8"/>
        <v>A</v>
      </c>
      <c r="R43" s="6">
        <f t="shared" si="9"/>
        <v>145.64511663629509</v>
      </c>
      <c r="S43" s="6">
        <f t="shared" si="10"/>
        <v>11.651609330903607</v>
      </c>
      <c r="T43" s="6">
        <f t="shared" si="11"/>
        <v>291.29023327259017</v>
      </c>
      <c r="U43" s="6">
        <f t="shared" si="12"/>
        <v>72.822558318147543</v>
      </c>
      <c r="V43" s="6">
        <f t="shared" si="13"/>
        <v>364.11279159073774</v>
      </c>
      <c r="W43">
        <v>131</v>
      </c>
      <c r="X43" t="str">
        <f t="shared" si="14"/>
        <v>OK</v>
      </c>
      <c r="Y43" s="6">
        <f t="shared" si="15"/>
        <v>31</v>
      </c>
      <c r="Z43" s="6">
        <f t="shared" si="16"/>
        <v>155</v>
      </c>
    </row>
    <row r="44" spans="1:26" x14ac:dyDescent="0.3">
      <c r="A44" s="3" t="str">
        <f t="shared" si="0"/>
        <v>SKU043</v>
      </c>
      <c r="B44" s="3">
        <v>1641</v>
      </c>
      <c r="C44" s="3">
        <f t="shared" si="2"/>
        <v>2133.3000000000002</v>
      </c>
      <c r="D44" s="3">
        <v>78.650000000000006</v>
      </c>
      <c r="E44" s="3">
        <v>30</v>
      </c>
      <c r="F44" s="3" t="str" cm="1">
        <f t="array" aca="1" ref="F44" ca="1">INDEX({"Electronics","Clothing","Food","Furniture"}, RANDBETWEEN(1,4))</f>
        <v>Food</v>
      </c>
      <c r="G44" s="3">
        <v>50</v>
      </c>
      <c r="H44" s="3">
        <v>2</v>
      </c>
      <c r="I44" s="3">
        <f t="shared" si="1"/>
        <v>129064.65000000001</v>
      </c>
      <c r="J44" s="3">
        <f t="shared" si="17"/>
        <v>6438984.5999999996</v>
      </c>
      <c r="K44" s="4">
        <f t="shared" si="3"/>
        <v>0.22093685404455726</v>
      </c>
      <c r="M44" s="6">
        <f t="shared" si="4"/>
        <v>286.44371174805008</v>
      </c>
      <c r="N44" s="6">
        <f t="shared" si="5"/>
        <v>326.59608080930798</v>
      </c>
      <c r="O44" s="6">
        <f t="shared" si="6"/>
        <v>4.4958904109589044</v>
      </c>
      <c r="P44" s="6">
        <f t="shared" si="7"/>
        <v>134.87671232876713</v>
      </c>
      <c r="Q44" t="str">
        <f t="shared" si="8"/>
        <v>A</v>
      </c>
      <c r="R44" s="6">
        <f t="shared" si="9"/>
        <v>143.22185587402504</v>
      </c>
      <c r="S44" s="6">
        <f t="shared" si="10"/>
        <v>11.457748469922002</v>
      </c>
      <c r="T44" s="6">
        <f t="shared" si="11"/>
        <v>286.44371174805008</v>
      </c>
      <c r="U44" s="6">
        <f t="shared" si="12"/>
        <v>71.610927937012519</v>
      </c>
      <c r="V44" s="6">
        <f t="shared" si="13"/>
        <v>358.05463968506263</v>
      </c>
      <c r="W44">
        <v>182</v>
      </c>
      <c r="X44" t="str">
        <f t="shared" si="14"/>
        <v>OK</v>
      </c>
      <c r="Y44" s="6">
        <f t="shared" si="15"/>
        <v>35</v>
      </c>
      <c r="Z44" s="6">
        <f t="shared" si="16"/>
        <v>140</v>
      </c>
    </row>
    <row r="45" spans="1:26" x14ac:dyDescent="0.3">
      <c r="A45" s="3" t="str">
        <f t="shared" si="0"/>
        <v>SKU044</v>
      </c>
      <c r="B45" s="3">
        <v>1357</v>
      </c>
      <c r="C45" s="3">
        <f t="shared" si="2"/>
        <v>1764.1000000000001</v>
      </c>
      <c r="D45" s="3">
        <v>94.2</v>
      </c>
      <c r="E45" s="3">
        <v>7</v>
      </c>
      <c r="F45" s="3" t="str" cm="1">
        <f t="array" aca="1" ref="F45" ca="1">INDEX({"Electronics","Clothing","Food","Furniture"}, RANDBETWEEN(1,4))</f>
        <v>Electronics</v>
      </c>
      <c r="G45" s="3">
        <v>50</v>
      </c>
      <c r="H45" s="3">
        <v>2</v>
      </c>
      <c r="I45" s="3">
        <f t="shared" si="1"/>
        <v>127829.40000000001</v>
      </c>
      <c r="J45" s="3">
        <f t="shared" si="17"/>
        <v>6566814</v>
      </c>
      <c r="K45" s="4">
        <f t="shared" si="3"/>
        <v>0.22532298435001</v>
      </c>
      <c r="M45" s="6">
        <f t="shared" si="4"/>
        <v>260.48032555262211</v>
      </c>
      <c r="N45" s="6">
        <f t="shared" si="5"/>
        <v>296.99326591692278</v>
      </c>
      <c r="O45" s="6">
        <f t="shared" si="6"/>
        <v>3.7178082191780821</v>
      </c>
      <c r="P45" s="6">
        <f t="shared" si="7"/>
        <v>26.024657534246575</v>
      </c>
      <c r="Q45" t="str">
        <f t="shared" si="8"/>
        <v>A</v>
      </c>
      <c r="R45" s="6">
        <f t="shared" si="9"/>
        <v>130.24016277631105</v>
      </c>
      <c r="S45" s="6">
        <f t="shared" si="10"/>
        <v>10.419213022104884</v>
      </c>
      <c r="T45" s="6">
        <f t="shared" si="11"/>
        <v>260.48032555262211</v>
      </c>
      <c r="U45" s="6">
        <f t="shared" si="12"/>
        <v>65.120081388155526</v>
      </c>
      <c r="V45" s="6">
        <f t="shared" si="13"/>
        <v>325.60040694077765</v>
      </c>
      <c r="W45">
        <v>27</v>
      </c>
      <c r="X45" t="str">
        <f t="shared" si="14"/>
        <v>OK</v>
      </c>
      <c r="Y45" s="6">
        <f t="shared" si="15"/>
        <v>12</v>
      </c>
      <c r="Z45" s="6">
        <f t="shared" si="16"/>
        <v>48</v>
      </c>
    </row>
    <row r="46" spans="1:26" x14ac:dyDescent="0.3">
      <c r="A46" s="3" t="str">
        <f t="shared" si="0"/>
        <v>SKU045</v>
      </c>
      <c r="B46" s="3">
        <v>1371</v>
      </c>
      <c r="C46" s="3">
        <f t="shared" si="2"/>
        <v>1782.3</v>
      </c>
      <c r="D46" s="3">
        <v>92.23</v>
      </c>
      <c r="E46" s="3">
        <v>30</v>
      </c>
      <c r="F46" s="3" t="str" cm="1">
        <f t="array" aca="1" ref="F46" ca="1">INDEX({"Electronics","Clothing","Food","Furniture"}, RANDBETWEEN(1,4))</f>
        <v>Clothing</v>
      </c>
      <c r="G46" s="3">
        <v>50</v>
      </c>
      <c r="H46" s="3">
        <v>2</v>
      </c>
      <c r="I46" s="3">
        <f t="shared" si="1"/>
        <v>126447.33</v>
      </c>
      <c r="J46" s="3">
        <f t="shared" si="17"/>
        <v>6693261.3300000001</v>
      </c>
      <c r="K46" s="4">
        <f t="shared" si="3"/>
        <v>0.22966169255138291</v>
      </c>
      <c r="M46" s="6">
        <f t="shared" si="4"/>
        <v>261.82054923172092</v>
      </c>
      <c r="N46" s="6">
        <f t="shared" si="5"/>
        <v>298.52135601996719</v>
      </c>
      <c r="O46" s="6">
        <f t="shared" si="6"/>
        <v>3.7561643835616438</v>
      </c>
      <c r="P46" s="6">
        <f t="shared" si="7"/>
        <v>112.68493150684931</v>
      </c>
      <c r="Q46" t="str">
        <f t="shared" si="8"/>
        <v>A</v>
      </c>
      <c r="R46" s="6">
        <f t="shared" si="9"/>
        <v>130.91027461586046</v>
      </c>
      <c r="S46" s="6">
        <f t="shared" si="10"/>
        <v>10.472821969268837</v>
      </c>
      <c r="T46" s="6">
        <f t="shared" si="11"/>
        <v>261.82054923172092</v>
      </c>
      <c r="U46" s="6">
        <f t="shared" si="12"/>
        <v>65.455137307930229</v>
      </c>
      <c r="V46" s="6">
        <f t="shared" si="13"/>
        <v>327.27568653965113</v>
      </c>
      <c r="W46">
        <v>128</v>
      </c>
      <c r="X46" t="str">
        <f t="shared" si="14"/>
        <v>OK</v>
      </c>
      <c r="Y46" s="6">
        <f t="shared" si="15"/>
        <v>35</v>
      </c>
      <c r="Z46" s="6">
        <f t="shared" si="16"/>
        <v>140</v>
      </c>
    </row>
    <row r="47" spans="1:26" x14ac:dyDescent="0.3">
      <c r="A47" s="3" t="str">
        <f t="shared" si="0"/>
        <v>SKU046</v>
      </c>
      <c r="B47" s="3">
        <v>1948</v>
      </c>
      <c r="C47" s="3">
        <f t="shared" si="2"/>
        <v>2532.4</v>
      </c>
      <c r="D47" s="3">
        <v>64.91</v>
      </c>
      <c r="E47" s="3">
        <v>9</v>
      </c>
      <c r="F47" s="3" t="str" cm="1">
        <f t="array" aca="1" ref="F47" ca="1">INDEX({"Electronics","Clothing","Food","Furniture"}, RANDBETWEEN(1,4))</f>
        <v>Furniture</v>
      </c>
      <c r="G47" s="3">
        <v>50</v>
      </c>
      <c r="H47" s="3">
        <v>2</v>
      </c>
      <c r="I47" s="3">
        <f t="shared" si="1"/>
        <v>126444.68</v>
      </c>
      <c r="J47" s="3">
        <f t="shared" si="17"/>
        <v>6819706.0099999998</v>
      </c>
      <c r="K47" s="4">
        <f t="shared" si="3"/>
        <v>0.23400030982496214</v>
      </c>
      <c r="M47" s="6">
        <f t="shared" si="4"/>
        <v>312.08973068654473</v>
      </c>
      <c r="N47" s="6">
        <f t="shared" si="5"/>
        <v>355.83704135460658</v>
      </c>
      <c r="O47" s="6">
        <f t="shared" si="6"/>
        <v>5.3369863013698629</v>
      </c>
      <c r="P47" s="6">
        <f t="shared" si="7"/>
        <v>48.032876712328765</v>
      </c>
      <c r="Q47" t="str">
        <f t="shared" si="8"/>
        <v>A</v>
      </c>
      <c r="R47" s="6">
        <f t="shared" si="9"/>
        <v>156.04486534327236</v>
      </c>
      <c r="S47" s="6">
        <f t="shared" si="10"/>
        <v>12.483589227461787</v>
      </c>
      <c r="T47" s="6">
        <f t="shared" si="11"/>
        <v>312.08973068654467</v>
      </c>
      <c r="U47" s="6">
        <f t="shared" si="12"/>
        <v>78.022432671636182</v>
      </c>
      <c r="V47" s="6">
        <f t="shared" si="13"/>
        <v>390.11216335818085</v>
      </c>
      <c r="W47">
        <v>64</v>
      </c>
      <c r="X47" t="str">
        <f t="shared" si="14"/>
        <v>OK</v>
      </c>
      <c r="Y47" s="6">
        <f t="shared" si="15"/>
        <v>14</v>
      </c>
      <c r="Z47" s="6">
        <f t="shared" si="16"/>
        <v>70</v>
      </c>
    </row>
    <row r="48" spans="1:26" x14ac:dyDescent="0.3">
      <c r="A48" s="3" t="str">
        <f t="shared" si="0"/>
        <v>SKU047</v>
      </c>
      <c r="B48" s="3">
        <v>1326</v>
      </c>
      <c r="C48" s="3">
        <f t="shared" si="2"/>
        <v>1723.8</v>
      </c>
      <c r="D48" s="3">
        <v>94.75</v>
      </c>
      <c r="E48" s="3">
        <v>6</v>
      </c>
      <c r="F48" s="3" t="str" cm="1">
        <f t="array" aca="1" ref="F48" ca="1">INDEX({"Electronics","Clothing","Food","Furniture"}, RANDBETWEEN(1,4))</f>
        <v>Furniture</v>
      </c>
      <c r="G48" s="3">
        <v>50</v>
      </c>
      <c r="H48" s="3">
        <v>2</v>
      </c>
      <c r="I48" s="3">
        <f t="shared" si="1"/>
        <v>125638.5</v>
      </c>
      <c r="J48" s="3">
        <f t="shared" si="17"/>
        <v>6945344.5099999998</v>
      </c>
      <c r="K48" s="4">
        <f t="shared" si="3"/>
        <v>0.23831126514808518</v>
      </c>
      <c r="M48" s="6">
        <f t="shared" si="4"/>
        <v>257.48786379167467</v>
      </c>
      <c r="N48" s="6">
        <f t="shared" si="5"/>
        <v>293.58133455654161</v>
      </c>
      <c r="O48" s="6">
        <f t="shared" si="6"/>
        <v>3.6328767123287671</v>
      </c>
      <c r="P48" s="6">
        <f t="shared" si="7"/>
        <v>21.797260273972604</v>
      </c>
      <c r="Q48" t="str">
        <f t="shared" si="8"/>
        <v>A</v>
      </c>
      <c r="R48" s="6">
        <f t="shared" si="9"/>
        <v>128.74393189583733</v>
      </c>
      <c r="S48" s="6">
        <f t="shared" si="10"/>
        <v>10.299514551666986</v>
      </c>
      <c r="T48" s="6">
        <f t="shared" si="11"/>
        <v>257.48786379167467</v>
      </c>
      <c r="U48" s="6">
        <f t="shared" si="12"/>
        <v>64.371965947918667</v>
      </c>
      <c r="V48" s="6">
        <f t="shared" si="13"/>
        <v>321.85982973959335</v>
      </c>
      <c r="W48">
        <v>60</v>
      </c>
      <c r="X48" t="str">
        <f t="shared" si="14"/>
        <v>OK</v>
      </c>
      <c r="Y48" s="6">
        <f t="shared" si="15"/>
        <v>11</v>
      </c>
      <c r="Z48" s="6">
        <f t="shared" si="16"/>
        <v>44</v>
      </c>
    </row>
    <row r="49" spans="1:26" x14ac:dyDescent="0.3">
      <c r="A49" s="3" t="str">
        <f t="shared" si="0"/>
        <v>SKU048</v>
      </c>
      <c r="B49" s="3">
        <v>1710</v>
      </c>
      <c r="C49" s="3">
        <f t="shared" si="2"/>
        <v>2223</v>
      </c>
      <c r="D49" s="3">
        <v>73.319999999999993</v>
      </c>
      <c r="E49" s="3">
        <v>30</v>
      </c>
      <c r="F49" s="3" t="str" cm="1">
        <f t="array" aca="1" ref="F49" ca="1">INDEX({"Electronics","Clothing","Food","Furniture"}, RANDBETWEEN(1,4))</f>
        <v>Electronics</v>
      </c>
      <c r="G49" s="3">
        <v>50</v>
      </c>
      <c r="H49" s="3">
        <v>2</v>
      </c>
      <c r="I49" s="3">
        <f t="shared" si="1"/>
        <v>125377.19999999998</v>
      </c>
      <c r="J49" s="3">
        <f t="shared" si="17"/>
        <v>7070721.71</v>
      </c>
      <c r="K49" s="4">
        <f t="shared" si="3"/>
        <v>0.24261325464762759</v>
      </c>
      <c r="M49" s="6">
        <f t="shared" si="4"/>
        <v>292.4038303442689</v>
      </c>
      <c r="N49" s="6">
        <f t="shared" si="5"/>
        <v>333.39166156339303</v>
      </c>
      <c r="O49" s="6">
        <f t="shared" si="6"/>
        <v>4.6849315068493151</v>
      </c>
      <c r="P49" s="6">
        <f t="shared" si="7"/>
        <v>140.54794520547946</v>
      </c>
      <c r="Q49" t="str">
        <f t="shared" si="8"/>
        <v>A</v>
      </c>
      <c r="R49" s="6">
        <f t="shared" si="9"/>
        <v>146.20191517213445</v>
      </c>
      <c r="S49" s="6">
        <f t="shared" si="10"/>
        <v>11.696153213770758</v>
      </c>
      <c r="T49" s="6">
        <f t="shared" si="11"/>
        <v>292.40383034426895</v>
      </c>
      <c r="U49" s="6">
        <f t="shared" si="12"/>
        <v>73.100957586067224</v>
      </c>
      <c r="V49" s="6">
        <f t="shared" si="13"/>
        <v>365.50478793033619</v>
      </c>
      <c r="W49">
        <v>185</v>
      </c>
      <c r="X49" t="str">
        <f t="shared" si="14"/>
        <v>OK</v>
      </c>
      <c r="Y49" s="6">
        <f t="shared" si="15"/>
        <v>35</v>
      </c>
      <c r="Z49" s="6">
        <f t="shared" si="16"/>
        <v>175</v>
      </c>
    </row>
    <row r="50" spans="1:26" x14ac:dyDescent="0.3">
      <c r="A50" s="3" t="str">
        <f t="shared" si="0"/>
        <v>SKU049</v>
      </c>
      <c r="B50" s="3">
        <v>1837</v>
      </c>
      <c r="C50" s="3">
        <f t="shared" si="2"/>
        <v>2388.1</v>
      </c>
      <c r="D50" s="3">
        <v>67.709999999999994</v>
      </c>
      <c r="E50" s="3">
        <v>22</v>
      </c>
      <c r="F50" s="3" t="str" cm="1">
        <f t="array" aca="1" ref="F50" ca="1">INDEX({"Electronics","Clothing","Food","Furniture"}, RANDBETWEEN(1,4))</f>
        <v>Clothing</v>
      </c>
      <c r="G50" s="3">
        <v>50</v>
      </c>
      <c r="H50" s="3">
        <v>2</v>
      </c>
      <c r="I50" s="3">
        <f t="shared" si="1"/>
        <v>124383.26999999999</v>
      </c>
      <c r="J50" s="3">
        <f t="shared" si="17"/>
        <v>7195104.9799999995</v>
      </c>
      <c r="K50" s="4">
        <f t="shared" si="3"/>
        <v>0.24688114004831244</v>
      </c>
      <c r="M50" s="6">
        <f t="shared" si="4"/>
        <v>303.06764921383478</v>
      </c>
      <c r="N50" s="6">
        <f t="shared" si="5"/>
        <v>345.55028577618049</v>
      </c>
      <c r="O50" s="6">
        <f t="shared" si="6"/>
        <v>5.0328767123287674</v>
      </c>
      <c r="P50" s="6">
        <f t="shared" si="7"/>
        <v>110.72328767123288</v>
      </c>
      <c r="Q50" t="str">
        <f t="shared" si="8"/>
        <v>A</v>
      </c>
      <c r="R50" s="6">
        <f t="shared" si="9"/>
        <v>151.53382460691739</v>
      </c>
      <c r="S50" s="6">
        <f t="shared" si="10"/>
        <v>12.12270596855339</v>
      </c>
      <c r="T50" s="6">
        <f t="shared" si="11"/>
        <v>303.06764921383478</v>
      </c>
      <c r="U50" s="6">
        <f t="shared" si="12"/>
        <v>75.766912303458696</v>
      </c>
      <c r="V50" s="6">
        <f t="shared" si="13"/>
        <v>378.83456151729348</v>
      </c>
      <c r="W50">
        <v>159</v>
      </c>
      <c r="X50" t="str">
        <f t="shared" si="14"/>
        <v>OK</v>
      </c>
      <c r="Y50" s="6">
        <f t="shared" si="15"/>
        <v>27</v>
      </c>
      <c r="Z50" s="6">
        <f t="shared" si="16"/>
        <v>135</v>
      </c>
    </row>
    <row r="51" spans="1:26" x14ac:dyDescent="0.3">
      <c r="A51" s="3" t="str">
        <f t="shared" si="0"/>
        <v>SKU050</v>
      </c>
      <c r="B51" s="3">
        <v>1862</v>
      </c>
      <c r="C51" s="3">
        <f t="shared" si="2"/>
        <v>2420.6</v>
      </c>
      <c r="D51" s="3">
        <v>66.77</v>
      </c>
      <c r="E51" s="3">
        <v>27</v>
      </c>
      <c r="F51" s="3" t="str" cm="1">
        <f t="array" aca="1" ref="F51" ca="1">INDEX({"Electronics","Clothing","Food","Furniture"}, RANDBETWEEN(1,4))</f>
        <v>Food</v>
      </c>
      <c r="G51" s="3">
        <v>50</v>
      </c>
      <c r="H51" s="3">
        <v>2</v>
      </c>
      <c r="I51" s="3">
        <f t="shared" si="1"/>
        <v>124325.73999999999</v>
      </c>
      <c r="J51" s="3">
        <f t="shared" si="17"/>
        <v>7319430.7199999997</v>
      </c>
      <c r="K51" s="4">
        <f t="shared" si="3"/>
        <v>0.2511470514580651</v>
      </c>
      <c r="M51" s="6">
        <f t="shared" si="4"/>
        <v>305.12292604784716</v>
      </c>
      <c r="N51" s="6">
        <f t="shared" si="5"/>
        <v>347.89366191409698</v>
      </c>
      <c r="O51" s="6">
        <f t="shared" si="6"/>
        <v>5.1013698630136988</v>
      </c>
      <c r="P51" s="6">
        <f t="shared" si="7"/>
        <v>137.73698630136985</v>
      </c>
      <c r="Q51" t="str">
        <f t="shared" si="8"/>
        <v>A</v>
      </c>
      <c r="R51" s="6">
        <f t="shared" si="9"/>
        <v>152.56146302392358</v>
      </c>
      <c r="S51" s="6">
        <f t="shared" si="10"/>
        <v>12.204917041913886</v>
      </c>
      <c r="T51" s="6">
        <f t="shared" si="11"/>
        <v>305.12292604784716</v>
      </c>
      <c r="U51" s="6">
        <f t="shared" si="12"/>
        <v>76.28073151196179</v>
      </c>
      <c r="V51" s="6">
        <f t="shared" si="13"/>
        <v>381.40365755980895</v>
      </c>
      <c r="W51">
        <v>184</v>
      </c>
      <c r="X51" t="str">
        <f t="shared" si="14"/>
        <v>OK</v>
      </c>
      <c r="Y51" s="6">
        <f t="shared" si="15"/>
        <v>32</v>
      </c>
      <c r="Z51" s="6">
        <f t="shared" si="16"/>
        <v>160</v>
      </c>
    </row>
    <row r="52" spans="1:26" x14ac:dyDescent="0.3">
      <c r="A52" s="3" t="str">
        <f t="shared" si="0"/>
        <v>SKU051</v>
      </c>
      <c r="B52" s="3">
        <v>1257</v>
      </c>
      <c r="C52" s="3">
        <f t="shared" si="2"/>
        <v>1634.1000000000001</v>
      </c>
      <c r="D52" s="3">
        <v>97.78</v>
      </c>
      <c r="E52" s="3">
        <v>4</v>
      </c>
      <c r="F52" s="3" t="str" cm="1">
        <f t="array" aca="1" ref="F52" ca="1">INDEX({"Electronics","Clothing","Food","Furniture"}, RANDBETWEEN(1,4))</f>
        <v>Furniture</v>
      </c>
      <c r="G52" s="3">
        <v>50</v>
      </c>
      <c r="H52" s="3">
        <v>2</v>
      </c>
      <c r="I52" s="3">
        <f t="shared" si="1"/>
        <v>122909.46</v>
      </c>
      <c r="J52" s="3">
        <f t="shared" si="17"/>
        <v>7442340.1799999997</v>
      </c>
      <c r="K52" s="4">
        <f t="shared" si="3"/>
        <v>0.25536436693739012</v>
      </c>
      <c r="M52" s="6">
        <f t="shared" si="4"/>
        <v>250.6990227344335</v>
      </c>
      <c r="N52" s="6">
        <f t="shared" si="5"/>
        <v>285.84086481817116</v>
      </c>
      <c r="O52" s="6">
        <f t="shared" si="6"/>
        <v>3.4438356164383563</v>
      </c>
      <c r="P52" s="6">
        <f t="shared" si="7"/>
        <v>13.775342465753425</v>
      </c>
      <c r="Q52" t="str">
        <f t="shared" si="8"/>
        <v>A</v>
      </c>
      <c r="R52" s="6">
        <f t="shared" si="9"/>
        <v>125.34951136721675</v>
      </c>
      <c r="S52" s="6">
        <f t="shared" si="10"/>
        <v>10.02796090937734</v>
      </c>
      <c r="T52" s="6">
        <f t="shared" si="11"/>
        <v>250.6990227344335</v>
      </c>
      <c r="U52" s="6">
        <f t="shared" si="12"/>
        <v>62.674755683608375</v>
      </c>
      <c r="V52" s="6">
        <f t="shared" si="13"/>
        <v>313.37377841804187</v>
      </c>
      <c r="W52">
        <v>40</v>
      </c>
      <c r="X52" t="str">
        <f t="shared" si="14"/>
        <v>OK</v>
      </c>
      <c r="Y52" s="6">
        <f t="shared" si="15"/>
        <v>9</v>
      </c>
      <c r="Z52" s="6">
        <f t="shared" si="16"/>
        <v>27</v>
      </c>
    </row>
    <row r="53" spans="1:26" x14ac:dyDescent="0.3">
      <c r="A53" s="3" t="str">
        <f t="shared" si="0"/>
        <v>SKU052</v>
      </c>
      <c r="B53" s="3">
        <v>1256</v>
      </c>
      <c r="C53" s="3">
        <f t="shared" si="2"/>
        <v>1632.8</v>
      </c>
      <c r="D53" s="3">
        <v>97.84</v>
      </c>
      <c r="E53" s="3">
        <v>12</v>
      </c>
      <c r="F53" s="3" t="str" cm="1">
        <f t="array" aca="1" ref="F53" ca="1">INDEX({"Electronics","Clothing","Food","Furniture"}, RANDBETWEEN(1,4))</f>
        <v>Furniture</v>
      </c>
      <c r="G53" s="3">
        <v>50</v>
      </c>
      <c r="H53" s="3">
        <v>2</v>
      </c>
      <c r="I53" s="3">
        <f t="shared" si="1"/>
        <v>122887.04000000001</v>
      </c>
      <c r="J53" s="3">
        <f t="shared" si="17"/>
        <v>7565227.2199999997</v>
      </c>
      <c r="K53" s="4">
        <f t="shared" si="3"/>
        <v>0.2595809131332682</v>
      </c>
      <c r="M53" s="6">
        <f t="shared" si="4"/>
        <v>250.59928172283335</v>
      </c>
      <c r="N53" s="6">
        <f t="shared" si="5"/>
        <v>285.72714256787015</v>
      </c>
      <c r="O53" s="6">
        <f t="shared" si="6"/>
        <v>3.441095890410959</v>
      </c>
      <c r="P53" s="6">
        <f t="shared" si="7"/>
        <v>41.293150684931504</v>
      </c>
      <c r="Q53" t="str">
        <f t="shared" si="8"/>
        <v>A</v>
      </c>
      <c r="R53" s="6">
        <f t="shared" si="9"/>
        <v>125.29964086141668</v>
      </c>
      <c r="S53" s="6">
        <f t="shared" si="10"/>
        <v>10.023971268913334</v>
      </c>
      <c r="T53" s="6">
        <f t="shared" si="11"/>
        <v>250.59928172283335</v>
      </c>
      <c r="U53" s="6">
        <f t="shared" si="12"/>
        <v>62.649820430708338</v>
      </c>
      <c r="V53" s="6">
        <f t="shared" si="13"/>
        <v>313.24910215354168</v>
      </c>
      <c r="W53">
        <v>33</v>
      </c>
      <c r="X53" t="str">
        <f t="shared" si="14"/>
        <v>ALERT</v>
      </c>
      <c r="Y53" s="6">
        <f t="shared" si="15"/>
        <v>17</v>
      </c>
      <c r="Z53" s="6">
        <f t="shared" si="16"/>
        <v>51</v>
      </c>
    </row>
    <row r="54" spans="1:26" x14ac:dyDescent="0.3">
      <c r="A54" s="3" t="str">
        <f t="shared" si="0"/>
        <v>SKU053</v>
      </c>
      <c r="B54" s="3">
        <v>1443</v>
      </c>
      <c r="C54" s="3">
        <f t="shared" si="2"/>
        <v>1875.9</v>
      </c>
      <c r="D54" s="3">
        <v>84.9</v>
      </c>
      <c r="E54" s="3">
        <v>27</v>
      </c>
      <c r="F54" s="3" t="str" cm="1">
        <f t="array" aca="1" ref="F54" ca="1">INDEX({"Electronics","Clothing","Food","Furniture"}, RANDBETWEEN(1,4))</f>
        <v>Clothing</v>
      </c>
      <c r="G54" s="3">
        <v>50</v>
      </c>
      <c r="H54" s="3">
        <v>2</v>
      </c>
      <c r="I54" s="3">
        <f t="shared" si="1"/>
        <v>122510.70000000001</v>
      </c>
      <c r="J54" s="3">
        <f t="shared" si="17"/>
        <v>7687737.9199999999</v>
      </c>
      <c r="K54" s="4">
        <f t="shared" si="3"/>
        <v>0.26378454620994873</v>
      </c>
      <c r="M54" s="6">
        <f t="shared" si="4"/>
        <v>268.60752037126588</v>
      </c>
      <c r="N54" s="6">
        <f t="shared" si="5"/>
        <v>306.2596937241334</v>
      </c>
      <c r="O54" s="6">
        <f t="shared" si="6"/>
        <v>3.9534246575342467</v>
      </c>
      <c r="P54" s="6">
        <f t="shared" si="7"/>
        <v>106.74246575342465</v>
      </c>
      <c r="Q54" t="str">
        <f t="shared" si="8"/>
        <v>A</v>
      </c>
      <c r="R54" s="6">
        <f t="shared" si="9"/>
        <v>134.30376018563294</v>
      </c>
      <c r="S54" s="6">
        <f t="shared" si="10"/>
        <v>10.744300814850632</v>
      </c>
      <c r="T54" s="6">
        <f t="shared" si="11"/>
        <v>268.60752037126582</v>
      </c>
      <c r="U54" s="6">
        <f t="shared" si="12"/>
        <v>67.151880092816469</v>
      </c>
      <c r="V54" s="6">
        <f t="shared" si="13"/>
        <v>335.75940046408232</v>
      </c>
      <c r="W54">
        <v>112</v>
      </c>
      <c r="X54" t="str">
        <f t="shared" si="14"/>
        <v>OK</v>
      </c>
      <c r="Y54" s="6">
        <f t="shared" si="15"/>
        <v>32</v>
      </c>
      <c r="Z54" s="6">
        <f t="shared" si="16"/>
        <v>128</v>
      </c>
    </row>
    <row r="55" spans="1:26" x14ac:dyDescent="0.3">
      <c r="A55" s="3" t="str">
        <f t="shared" si="0"/>
        <v>SKU054</v>
      </c>
      <c r="B55" s="3">
        <v>1512</v>
      </c>
      <c r="C55" s="3">
        <f t="shared" si="2"/>
        <v>1965.6000000000001</v>
      </c>
      <c r="D55" s="3">
        <v>80.900000000000006</v>
      </c>
      <c r="E55" s="3">
        <v>3</v>
      </c>
      <c r="F55" s="3" t="str" cm="1">
        <f t="array" aca="1" ref="F55" ca="1">INDEX({"Electronics","Clothing","Food","Furniture"}, RANDBETWEEN(1,4))</f>
        <v>Food</v>
      </c>
      <c r="G55" s="3">
        <v>50</v>
      </c>
      <c r="H55" s="3">
        <v>2</v>
      </c>
      <c r="I55" s="3">
        <f t="shared" si="1"/>
        <v>122320.8</v>
      </c>
      <c r="J55" s="3">
        <f t="shared" si="17"/>
        <v>7810058.7199999997</v>
      </c>
      <c r="K55" s="4">
        <f t="shared" si="3"/>
        <v>0.26798166336662177</v>
      </c>
      <c r="M55" s="6">
        <f t="shared" si="4"/>
        <v>274.95454169735041</v>
      </c>
      <c r="N55" s="6">
        <f t="shared" si="5"/>
        <v>313.49641146271517</v>
      </c>
      <c r="O55" s="6">
        <f t="shared" si="6"/>
        <v>4.1424657534246574</v>
      </c>
      <c r="P55" s="6">
        <f t="shared" si="7"/>
        <v>12.427397260273972</v>
      </c>
      <c r="Q55" t="str">
        <f t="shared" si="8"/>
        <v>A</v>
      </c>
      <c r="R55" s="6">
        <f t="shared" si="9"/>
        <v>137.4772708486752</v>
      </c>
      <c r="S55" s="6">
        <f t="shared" si="10"/>
        <v>10.998181667894016</v>
      </c>
      <c r="T55" s="6">
        <f t="shared" si="11"/>
        <v>274.95454169735041</v>
      </c>
      <c r="U55" s="6">
        <f t="shared" si="12"/>
        <v>68.738635424337602</v>
      </c>
      <c r="V55" s="6">
        <f t="shared" si="13"/>
        <v>343.693177121688</v>
      </c>
      <c r="W55">
        <v>0</v>
      </c>
      <c r="X55" t="str">
        <f t="shared" si="14"/>
        <v>ALERT</v>
      </c>
      <c r="Y55" s="6">
        <f t="shared" si="15"/>
        <v>8</v>
      </c>
      <c r="Z55" s="6">
        <f t="shared" si="16"/>
        <v>32</v>
      </c>
    </row>
    <row r="56" spans="1:26" x14ac:dyDescent="0.3">
      <c r="A56" s="3" t="str">
        <f t="shared" si="0"/>
        <v>SKU055</v>
      </c>
      <c r="B56" s="3">
        <v>1922</v>
      </c>
      <c r="C56" s="3">
        <f t="shared" si="2"/>
        <v>2498.6</v>
      </c>
      <c r="D56" s="3">
        <v>63.27</v>
      </c>
      <c r="E56" s="3">
        <v>6</v>
      </c>
      <c r="F56" s="3" t="str" cm="1">
        <f t="array" aca="1" ref="F56" ca="1">INDEX({"Electronics","Clothing","Food","Furniture"}, RANDBETWEEN(1,4))</f>
        <v>Furniture</v>
      </c>
      <c r="G56" s="3">
        <v>50</v>
      </c>
      <c r="H56" s="3">
        <v>2</v>
      </c>
      <c r="I56" s="3">
        <f t="shared" si="1"/>
        <v>121604.94</v>
      </c>
      <c r="J56" s="3">
        <f t="shared" si="17"/>
        <v>7931663.6600000001</v>
      </c>
      <c r="K56" s="4">
        <f t="shared" si="3"/>
        <v>0.27215421766654618</v>
      </c>
      <c r="M56" s="6">
        <f t="shared" si="4"/>
        <v>310</v>
      </c>
      <c r="N56" s="6">
        <f t="shared" si="5"/>
        <v>353.45438178073277</v>
      </c>
      <c r="O56" s="6">
        <f t="shared" si="6"/>
        <v>5.2657534246575342</v>
      </c>
      <c r="P56" s="6">
        <f t="shared" si="7"/>
        <v>31.594520547945205</v>
      </c>
      <c r="Q56" t="str">
        <f t="shared" si="8"/>
        <v>A</v>
      </c>
      <c r="R56" s="6">
        <f t="shared" si="9"/>
        <v>155</v>
      </c>
      <c r="S56" s="6">
        <f t="shared" si="10"/>
        <v>12.4</v>
      </c>
      <c r="T56" s="6">
        <f t="shared" si="11"/>
        <v>310</v>
      </c>
      <c r="U56" s="6">
        <f t="shared" si="12"/>
        <v>77.5</v>
      </c>
      <c r="V56" s="6">
        <f t="shared" si="13"/>
        <v>387.5</v>
      </c>
      <c r="W56">
        <v>20</v>
      </c>
      <c r="X56" t="str">
        <f t="shared" si="14"/>
        <v>ALERT</v>
      </c>
      <c r="Y56" s="6">
        <f t="shared" si="15"/>
        <v>11</v>
      </c>
      <c r="Z56" s="6">
        <f t="shared" si="16"/>
        <v>55</v>
      </c>
    </row>
    <row r="57" spans="1:26" x14ac:dyDescent="0.3">
      <c r="A57" s="3" t="str">
        <f t="shared" si="0"/>
        <v>SKU056</v>
      </c>
      <c r="B57" s="3">
        <v>1661</v>
      </c>
      <c r="C57" s="3">
        <f t="shared" si="2"/>
        <v>2159.3000000000002</v>
      </c>
      <c r="D57" s="3">
        <v>73.150000000000006</v>
      </c>
      <c r="E57" s="3">
        <v>11</v>
      </c>
      <c r="F57" s="3" t="str" cm="1">
        <f t="array" aca="1" ref="F57" ca="1">INDEX({"Electronics","Clothing","Food","Furniture"}, RANDBETWEEN(1,4))</f>
        <v>Clothing</v>
      </c>
      <c r="G57" s="3">
        <v>50</v>
      </c>
      <c r="H57" s="3">
        <v>2</v>
      </c>
      <c r="I57" s="3">
        <f t="shared" si="1"/>
        <v>121502.15000000001</v>
      </c>
      <c r="J57" s="3">
        <f t="shared" si="17"/>
        <v>8053165.8100000005</v>
      </c>
      <c r="K57" s="4">
        <f t="shared" si="3"/>
        <v>0.27632324499744709</v>
      </c>
      <c r="M57" s="6">
        <f t="shared" si="4"/>
        <v>288.18396901979122</v>
      </c>
      <c r="N57" s="6">
        <f t="shared" si="5"/>
        <v>328.58027938389733</v>
      </c>
      <c r="O57" s="6">
        <f t="shared" si="6"/>
        <v>4.5506849315068489</v>
      </c>
      <c r="P57" s="6">
        <f t="shared" si="7"/>
        <v>50.057534246575337</v>
      </c>
      <c r="Q57" t="str">
        <f t="shared" si="8"/>
        <v>A</v>
      </c>
      <c r="R57" s="6">
        <f t="shared" si="9"/>
        <v>144.09198450989561</v>
      </c>
      <c r="S57" s="6">
        <f t="shared" si="10"/>
        <v>11.527358760791651</v>
      </c>
      <c r="T57" s="6">
        <f t="shared" si="11"/>
        <v>288.18396901979128</v>
      </c>
      <c r="U57" s="6">
        <f t="shared" si="12"/>
        <v>72.045992254947805</v>
      </c>
      <c r="V57" s="6">
        <f t="shared" si="13"/>
        <v>360.22996127473908</v>
      </c>
      <c r="W57">
        <v>74</v>
      </c>
      <c r="X57" t="str">
        <f t="shared" si="14"/>
        <v>OK</v>
      </c>
      <c r="Y57" s="6">
        <f t="shared" si="15"/>
        <v>16</v>
      </c>
      <c r="Z57" s="6">
        <f t="shared" si="16"/>
        <v>80</v>
      </c>
    </row>
    <row r="58" spans="1:26" x14ac:dyDescent="0.3">
      <c r="A58" s="3" t="str">
        <f t="shared" si="0"/>
        <v>SKU057</v>
      </c>
      <c r="B58" s="3">
        <v>1991</v>
      </c>
      <c r="C58" s="3">
        <f t="shared" si="2"/>
        <v>2588.3000000000002</v>
      </c>
      <c r="D58" s="3">
        <v>60.63</v>
      </c>
      <c r="E58" s="3">
        <v>23</v>
      </c>
      <c r="F58" s="3" t="str" cm="1">
        <f t="array" aca="1" ref="F58" ca="1">INDEX({"Electronics","Clothing","Food","Furniture"}, RANDBETWEEN(1,4))</f>
        <v>Clothing</v>
      </c>
      <c r="G58" s="3">
        <v>50</v>
      </c>
      <c r="H58" s="3">
        <v>2</v>
      </c>
      <c r="I58" s="3">
        <f t="shared" si="1"/>
        <v>120714.33</v>
      </c>
      <c r="J58" s="3">
        <f t="shared" si="17"/>
        <v>8173880.1400000006</v>
      </c>
      <c r="K58" s="4">
        <f t="shared" si="3"/>
        <v>0.28046524035309628</v>
      </c>
      <c r="M58" s="6">
        <f t="shared" si="4"/>
        <v>315.51545128567</v>
      </c>
      <c r="N58" s="6">
        <f t="shared" si="5"/>
        <v>359.7429637949852</v>
      </c>
      <c r="O58" s="6">
        <f t="shared" si="6"/>
        <v>5.4547945205479449</v>
      </c>
      <c r="P58" s="6">
        <f t="shared" si="7"/>
        <v>125.46027397260274</v>
      </c>
      <c r="Q58" t="str">
        <f t="shared" si="8"/>
        <v>A</v>
      </c>
      <c r="R58" s="6">
        <f t="shared" si="9"/>
        <v>157.757725642835</v>
      </c>
      <c r="S58" s="6">
        <f t="shared" si="10"/>
        <v>12.620618051426801</v>
      </c>
      <c r="T58" s="6">
        <f t="shared" si="11"/>
        <v>315.51545128567</v>
      </c>
      <c r="U58" s="6">
        <f t="shared" si="12"/>
        <v>78.878862821417499</v>
      </c>
      <c r="V58" s="6">
        <f t="shared" si="13"/>
        <v>394.3943141070875</v>
      </c>
      <c r="W58">
        <v>133</v>
      </c>
      <c r="X58" t="str">
        <f t="shared" si="14"/>
        <v>OK</v>
      </c>
      <c r="Y58" s="6">
        <f t="shared" si="15"/>
        <v>28</v>
      </c>
      <c r="Z58" s="6">
        <f t="shared" si="16"/>
        <v>140</v>
      </c>
    </row>
    <row r="59" spans="1:26" x14ac:dyDescent="0.3">
      <c r="A59" s="3" t="str">
        <f t="shared" si="0"/>
        <v>SKU058</v>
      </c>
      <c r="B59" s="3">
        <v>1564</v>
      </c>
      <c r="C59" s="3">
        <f t="shared" si="2"/>
        <v>2033.2</v>
      </c>
      <c r="D59" s="3">
        <v>76.569999999999993</v>
      </c>
      <c r="E59" s="3">
        <v>13</v>
      </c>
      <c r="F59" s="3" t="str" cm="1">
        <f t="array" aca="1" ref="F59" ca="1">INDEX({"Electronics","Clothing","Food","Furniture"}, RANDBETWEEN(1,4))</f>
        <v>Electronics</v>
      </c>
      <c r="G59" s="3">
        <v>50</v>
      </c>
      <c r="H59" s="3">
        <v>2</v>
      </c>
      <c r="I59" s="3">
        <f t="shared" si="1"/>
        <v>119755.48</v>
      </c>
      <c r="J59" s="3">
        <f t="shared" si="17"/>
        <v>8293635.620000001</v>
      </c>
      <c r="K59" s="4">
        <f t="shared" si="3"/>
        <v>0.28457433528800202</v>
      </c>
      <c r="M59" s="6">
        <f t="shared" si="4"/>
        <v>279.64262908219126</v>
      </c>
      <c r="N59" s="6">
        <f t="shared" si="5"/>
        <v>318.84165348962796</v>
      </c>
      <c r="O59" s="6">
        <f t="shared" si="6"/>
        <v>4.2849315068493148</v>
      </c>
      <c r="P59" s="6">
        <f t="shared" si="7"/>
        <v>55.704109589041096</v>
      </c>
      <c r="Q59" t="str">
        <f t="shared" si="8"/>
        <v>A</v>
      </c>
      <c r="R59" s="6">
        <f t="shared" si="9"/>
        <v>139.82131454109563</v>
      </c>
      <c r="S59" s="6">
        <f t="shared" si="10"/>
        <v>11.185705163287651</v>
      </c>
      <c r="T59" s="6">
        <f t="shared" si="11"/>
        <v>279.64262908219126</v>
      </c>
      <c r="U59" s="6">
        <f t="shared" si="12"/>
        <v>69.910657270547816</v>
      </c>
      <c r="V59" s="6">
        <f t="shared" si="13"/>
        <v>349.55328635273906</v>
      </c>
      <c r="W59">
        <v>63</v>
      </c>
      <c r="X59" t="str">
        <f t="shared" si="14"/>
        <v>OK</v>
      </c>
      <c r="Y59" s="6">
        <f t="shared" si="15"/>
        <v>18</v>
      </c>
      <c r="Z59" s="6">
        <f t="shared" si="16"/>
        <v>72</v>
      </c>
    </row>
    <row r="60" spans="1:26" x14ac:dyDescent="0.3">
      <c r="A60" s="3" t="str">
        <f t="shared" si="0"/>
        <v>SKU059</v>
      </c>
      <c r="B60" s="3">
        <v>1728</v>
      </c>
      <c r="C60" s="3">
        <f t="shared" si="2"/>
        <v>2246.4</v>
      </c>
      <c r="D60" s="3">
        <v>69.06</v>
      </c>
      <c r="E60" s="3">
        <v>25</v>
      </c>
      <c r="F60" s="3" t="str" cm="1">
        <f t="array" aca="1" ref="F60" ca="1">INDEX({"Electronics","Clothing","Food","Furniture"}, RANDBETWEEN(1,4))</f>
        <v>Food</v>
      </c>
      <c r="G60" s="3">
        <v>50</v>
      </c>
      <c r="H60" s="3">
        <v>2</v>
      </c>
      <c r="I60" s="3">
        <f t="shared" si="1"/>
        <v>119335.68000000001</v>
      </c>
      <c r="J60" s="3">
        <f t="shared" si="17"/>
        <v>8412971.3000000007</v>
      </c>
      <c r="K60" s="4">
        <f t="shared" si="3"/>
        <v>0.28866902588789378</v>
      </c>
      <c r="M60" s="6">
        <f t="shared" si="4"/>
        <v>293.9387691339814</v>
      </c>
      <c r="N60" s="6">
        <f t="shared" si="5"/>
        <v>335.14176105045459</v>
      </c>
      <c r="O60" s="6">
        <f t="shared" si="6"/>
        <v>4.7342465753424658</v>
      </c>
      <c r="P60" s="6">
        <f t="shared" si="7"/>
        <v>118.35616438356165</v>
      </c>
      <c r="Q60" t="str">
        <f t="shared" si="8"/>
        <v>A</v>
      </c>
      <c r="R60" s="6">
        <f t="shared" si="9"/>
        <v>146.9693845669907</v>
      </c>
      <c r="S60" s="6">
        <f t="shared" si="10"/>
        <v>11.757550765359253</v>
      </c>
      <c r="T60" s="6">
        <f t="shared" si="11"/>
        <v>293.93876913398134</v>
      </c>
      <c r="U60" s="6">
        <f t="shared" si="12"/>
        <v>73.484692283495349</v>
      </c>
      <c r="V60" s="6">
        <f t="shared" si="13"/>
        <v>367.42346141747669</v>
      </c>
      <c r="W60">
        <v>86</v>
      </c>
      <c r="X60" t="str">
        <f t="shared" si="14"/>
        <v>ALERT</v>
      </c>
      <c r="Y60" s="6">
        <f t="shared" si="15"/>
        <v>30</v>
      </c>
      <c r="Z60" s="6">
        <f t="shared" si="16"/>
        <v>150</v>
      </c>
    </row>
    <row r="61" spans="1:26" x14ac:dyDescent="0.3">
      <c r="A61" s="3" t="str">
        <f t="shared" si="0"/>
        <v>SKU060</v>
      </c>
      <c r="B61" s="3">
        <v>1404</v>
      </c>
      <c r="C61" s="3">
        <f t="shared" si="2"/>
        <v>1825.2</v>
      </c>
      <c r="D61" s="3">
        <v>84.75</v>
      </c>
      <c r="E61" s="3">
        <v>3</v>
      </c>
      <c r="F61" s="3" t="str" cm="1">
        <f t="array" aca="1" ref="F61" ca="1">INDEX({"Electronics","Clothing","Food","Furniture"}, RANDBETWEEN(1,4))</f>
        <v>Clothing</v>
      </c>
      <c r="G61" s="3">
        <v>50</v>
      </c>
      <c r="H61" s="3">
        <v>2</v>
      </c>
      <c r="I61" s="3">
        <f t="shared" si="1"/>
        <v>118989</v>
      </c>
      <c r="J61" s="3">
        <f t="shared" si="17"/>
        <v>8531960.3000000007</v>
      </c>
      <c r="K61" s="4">
        <f t="shared" si="3"/>
        <v>0.29275182107362974</v>
      </c>
      <c r="M61" s="6">
        <f t="shared" si="4"/>
        <v>264.95282598983539</v>
      </c>
      <c r="N61" s="6">
        <f t="shared" si="5"/>
        <v>302.09270100417854</v>
      </c>
      <c r="O61" s="6">
        <f t="shared" si="6"/>
        <v>3.8465753424657536</v>
      </c>
      <c r="P61" s="6">
        <f t="shared" si="7"/>
        <v>11.539726027397261</v>
      </c>
      <c r="Q61" t="str">
        <f t="shared" si="8"/>
        <v>A</v>
      </c>
      <c r="R61" s="6">
        <f t="shared" si="9"/>
        <v>132.47641299491769</v>
      </c>
      <c r="S61" s="6">
        <f t="shared" si="10"/>
        <v>10.598113039593416</v>
      </c>
      <c r="T61" s="6">
        <f t="shared" si="11"/>
        <v>264.95282598983539</v>
      </c>
      <c r="U61" s="6">
        <f t="shared" si="12"/>
        <v>66.238206497458847</v>
      </c>
      <c r="V61" s="6">
        <f t="shared" si="13"/>
        <v>331.19103248729425</v>
      </c>
      <c r="W61">
        <v>46</v>
      </c>
      <c r="X61" t="str">
        <f t="shared" si="14"/>
        <v>OK</v>
      </c>
      <c r="Y61" s="6">
        <f t="shared" si="15"/>
        <v>8</v>
      </c>
      <c r="Z61" s="6">
        <f t="shared" si="16"/>
        <v>32</v>
      </c>
    </row>
    <row r="62" spans="1:26" x14ac:dyDescent="0.3">
      <c r="A62" s="3" t="str">
        <f t="shared" si="0"/>
        <v>SKU061</v>
      </c>
      <c r="B62" s="3">
        <v>1488</v>
      </c>
      <c r="C62" s="3">
        <f t="shared" si="2"/>
        <v>1934.4</v>
      </c>
      <c r="D62" s="3">
        <v>78.989999999999995</v>
      </c>
      <c r="E62" s="3">
        <v>21</v>
      </c>
      <c r="F62" s="3" t="str" cm="1">
        <f t="array" aca="1" ref="F62" ca="1">INDEX({"Electronics","Clothing","Food","Furniture"}, RANDBETWEEN(1,4))</f>
        <v>Electronics</v>
      </c>
      <c r="G62" s="3">
        <v>50</v>
      </c>
      <c r="H62" s="3">
        <v>2</v>
      </c>
      <c r="I62" s="3">
        <f t="shared" si="1"/>
        <v>117537.12</v>
      </c>
      <c r="J62" s="3">
        <f t="shared" si="17"/>
        <v>8649497.4199999999</v>
      </c>
      <c r="K62" s="4">
        <f t="shared" si="3"/>
        <v>0.29678479880838893</v>
      </c>
      <c r="M62" s="6">
        <f t="shared" si="4"/>
        <v>272.76363393971712</v>
      </c>
      <c r="N62" s="6">
        <f t="shared" si="5"/>
        <v>310.99839227880261</v>
      </c>
      <c r="O62" s="6">
        <f t="shared" si="6"/>
        <v>4.0767123287671234</v>
      </c>
      <c r="P62" s="6">
        <f t="shared" si="7"/>
        <v>85.610958904109594</v>
      </c>
      <c r="Q62" t="str">
        <f t="shared" si="8"/>
        <v>A</v>
      </c>
      <c r="R62" s="6">
        <f t="shared" si="9"/>
        <v>136.38181696985856</v>
      </c>
      <c r="S62" s="6">
        <f t="shared" si="10"/>
        <v>10.910545357588685</v>
      </c>
      <c r="T62" s="6">
        <f t="shared" si="11"/>
        <v>272.76363393971712</v>
      </c>
      <c r="U62" s="6">
        <f t="shared" si="12"/>
        <v>68.190908484929281</v>
      </c>
      <c r="V62" s="6">
        <f t="shared" si="13"/>
        <v>340.95454242464643</v>
      </c>
      <c r="W62">
        <v>87</v>
      </c>
      <c r="X62" t="str">
        <f t="shared" si="14"/>
        <v>OK</v>
      </c>
      <c r="Y62" s="6">
        <f t="shared" si="15"/>
        <v>26</v>
      </c>
      <c r="Z62" s="6">
        <f t="shared" si="16"/>
        <v>104</v>
      </c>
    </row>
    <row r="63" spans="1:26" x14ac:dyDescent="0.3">
      <c r="A63" s="3" t="str">
        <f t="shared" si="0"/>
        <v>SKU062</v>
      </c>
      <c r="B63" s="3">
        <v>1783</v>
      </c>
      <c r="C63" s="3">
        <f t="shared" si="2"/>
        <v>2317.9</v>
      </c>
      <c r="D63" s="3">
        <v>65.86</v>
      </c>
      <c r="E63" s="3">
        <v>3</v>
      </c>
      <c r="F63" s="3" t="str" cm="1">
        <f t="array" aca="1" ref="F63" ca="1">INDEX({"Electronics","Clothing","Food","Furniture"}, RANDBETWEEN(1,4))</f>
        <v>Food</v>
      </c>
      <c r="G63" s="3">
        <v>50</v>
      </c>
      <c r="H63" s="3">
        <v>2</v>
      </c>
      <c r="I63" s="3">
        <f t="shared" si="1"/>
        <v>117428.38</v>
      </c>
      <c r="J63" s="3">
        <f t="shared" si="17"/>
        <v>8766925.8000000007</v>
      </c>
      <c r="K63" s="4">
        <f t="shared" si="3"/>
        <v>0.30081404541549356</v>
      </c>
      <c r="M63" s="6">
        <f t="shared" si="4"/>
        <v>298.5799725366723</v>
      </c>
      <c r="N63" s="6">
        <f t="shared" si="5"/>
        <v>340.43354711308933</v>
      </c>
      <c r="O63" s="6">
        <f t="shared" si="6"/>
        <v>4.8849315068493153</v>
      </c>
      <c r="P63" s="6">
        <f t="shared" si="7"/>
        <v>14.654794520547945</v>
      </c>
      <c r="Q63" t="str">
        <f t="shared" si="8"/>
        <v>A</v>
      </c>
      <c r="R63" s="6">
        <f t="shared" si="9"/>
        <v>149.28998626833615</v>
      </c>
      <c r="S63" s="6">
        <f t="shared" si="10"/>
        <v>11.943198901466895</v>
      </c>
      <c r="T63" s="6">
        <f t="shared" si="11"/>
        <v>298.57997253667236</v>
      </c>
      <c r="U63" s="6">
        <f t="shared" si="12"/>
        <v>74.644993134168075</v>
      </c>
      <c r="V63" s="6">
        <f t="shared" si="13"/>
        <v>373.22496567084045</v>
      </c>
      <c r="W63">
        <v>51</v>
      </c>
      <c r="X63" t="str">
        <f t="shared" si="14"/>
        <v>OK</v>
      </c>
      <c r="Y63" s="6">
        <f t="shared" si="15"/>
        <v>8</v>
      </c>
      <c r="Z63" s="6">
        <f t="shared" si="16"/>
        <v>40</v>
      </c>
    </row>
    <row r="64" spans="1:26" x14ac:dyDescent="0.3">
      <c r="A64" s="3" t="str">
        <f t="shared" si="0"/>
        <v>SKU063</v>
      </c>
      <c r="B64" s="3">
        <v>1659</v>
      </c>
      <c r="C64" s="3">
        <f t="shared" si="2"/>
        <v>2156.7000000000003</v>
      </c>
      <c r="D64" s="3">
        <v>69.58</v>
      </c>
      <c r="E64" s="3">
        <v>29</v>
      </c>
      <c r="F64" s="3" t="str" cm="1">
        <f t="array" aca="1" ref="F64" ca="1">INDEX({"Electronics","Clothing","Food","Furniture"}, RANDBETWEEN(1,4))</f>
        <v>Food</v>
      </c>
      <c r="G64" s="3">
        <v>50</v>
      </c>
      <c r="H64" s="3">
        <v>2</v>
      </c>
      <c r="I64" s="3">
        <f t="shared" si="1"/>
        <v>115433.22</v>
      </c>
      <c r="J64" s="3">
        <f t="shared" si="17"/>
        <v>8882359.0200000014</v>
      </c>
      <c r="K64" s="4">
        <f t="shared" si="3"/>
        <v>0.3047748333445458</v>
      </c>
      <c r="M64" s="6">
        <f t="shared" si="4"/>
        <v>288.01041647829339</v>
      </c>
      <c r="N64" s="6">
        <f t="shared" si="5"/>
        <v>328.38239904111794</v>
      </c>
      <c r="O64" s="6">
        <f t="shared" si="6"/>
        <v>4.5452054794520551</v>
      </c>
      <c r="P64" s="6">
        <f t="shared" si="7"/>
        <v>131.81095890410961</v>
      </c>
      <c r="Q64" t="str">
        <f t="shared" si="8"/>
        <v>A</v>
      </c>
      <c r="R64" s="6">
        <f t="shared" si="9"/>
        <v>144.0052082391467</v>
      </c>
      <c r="S64" s="6">
        <f t="shared" si="10"/>
        <v>11.520416659131733</v>
      </c>
      <c r="T64" s="6">
        <f t="shared" si="11"/>
        <v>288.01041647829334</v>
      </c>
      <c r="U64" s="6">
        <f t="shared" si="12"/>
        <v>72.002604119573348</v>
      </c>
      <c r="V64" s="6">
        <f t="shared" si="13"/>
        <v>360.01302059786667</v>
      </c>
      <c r="W64">
        <v>180</v>
      </c>
      <c r="X64" t="str">
        <f t="shared" si="14"/>
        <v>OK</v>
      </c>
      <c r="Y64" s="6">
        <f t="shared" si="15"/>
        <v>34</v>
      </c>
      <c r="Z64" s="6">
        <f t="shared" si="16"/>
        <v>170</v>
      </c>
    </row>
    <row r="65" spans="1:26" x14ac:dyDescent="0.3">
      <c r="A65" s="3" t="str">
        <f t="shared" si="0"/>
        <v>SKU064</v>
      </c>
      <c r="B65" s="3">
        <v>1301</v>
      </c>
      <c r="C65" s="3">
        <f t="shared" si="2"/>
        <v>1691.3</v>
      </c>
      <c r="D65" s="3">
        <v>88.41</v>
      </c>
      <c r="E65" s="3">
        <v>3</v>
      </c>
      <c r="F65" s="3" t="str" cm="1">
        <f t="array" aca="1" ref="F65" ca="1">INDEX({"Electronics","Clothing","Food","Furniture"}, RANDBETWEEN(1,4))</f>
        <v>Food</v>
      </c>
      <c r="G65" s="3">
        <v>50</v>
      </c>
      <c r="H65" s="3">
        <v>2</v>
      </c>
      <c r="I65" s="3">
        <f t="shared" si="1"/>
        <v>115021.40999999999</v>
      </c>
      <c r="J65" s="3">
        <f t="shared" si="17"/>
        <v>8997380.4300000016</v>
      </c>
      <c r="K65" s="4">
        <f t="shared" si="3"/>
        <v>0.30872149109446018</v>
      </c>
      <c r="M65" s="6">
        <f t="shared" si="4"/>
        <v>255.04901489713697</v>
      </c>
      <c r="N65" s="6">
        <f t="shared" si="5"/>
        <v>290.80061898145954</v>
      </c>
      <c r="O65" s="6">
        <f t="shared" si="6"/>
        <v>3.5643835616438357</v>
      </c>
      <c r="P65" s="6">
        <f t="shared" si="7"/>
        <v>10.693150684931506</v>
      </c>
      <c r="Q65" t="str">
        <f t="shared" si="8"/>
        <v>A</v>
      </c>
      <c r="R65" s="6">
        <f t="shared" si="9"/>
        <v>127.52450744856849</v>
      </c>
      <c r="S65" s="6">
        <f t="shared" si="10"/>
        <v>10.201960595885479</v>
      </c>
      <c r="T65" s="6">
        <f t="shared" si="11"/>
        <v>255.04901489713697</v>
      </c>
      <c r="U65" s="6">
        <f t="shared" si="12"/>
        <v>63.762253724284243</v>
      </c>
      <c r="V65" s="6">
        <f t="shared" si="13"/>
        <v>318.81126862142122</v>
      </c>
      <c r="W65">
        <v>4</v>
      </c>
      <c r="X65" t="str">
        <f t="shared" si="14"/>
        <v>ALERT</v>
      </c>
      <c r="Y65" s="6">
        <f t="shared" si="15"/>
        <v>8</v>
      </c>
      <c r="Z65" s="6">
        <f t="shared" si="16"/>
        <v>32</v>
      </c>
    </row>
    <row r="66" spans="1:26" x14ac:dyDescent="0.3">
      <c r="A66" s="3" t="str">
        <f t="shared" ref="A66:A129" si="18">"SKU" &amp; TEXT(ROW()-1, "000")</f>
        <v>SKU065</v>
      </c>
      <c r="B66" s="3">
        <v>1724</v>
      </c>
      <c r="C66" s="3">
        <f t="shared" si="2"/>
        <v>2241.2000000000003</v>
      </c>
      <c r="D66" s="3">
        <v>66.650000000000006</v>
      </c>
      <c r="E66" s="3">
        <v>6</v>
      </c>
      <c r="F66" s="3" t="str" cm="1">
        <f t="array" aca="1" ref="F66" ca="1">INDEX({"Electronics","Clothing","Food","Furniture"}, RANDBETWEEN(1,4))</f>
        <v>Clothing</v>
      </c>
      <c r="G66" s="3">
        <v>50</v>
      </c>
      <c r="H66" s="3">
        <v>2</v>
      </c>
      <c r="I66" s="3">
        <f t="shared" ref="I66:I129" si="19">B66*D66</f>
        <v>114904.6</v>
      </c>
      <c r="J66" s="3">
        <f t="shared" si="17"/>
        <v>9112285.0300000012</v>
      </c>
      <c r="K66" s="4">
        <f t="shared" si="3"/>
        <v>0.31266414081585386</v>
      </c>
      <c r="M66" s="6">
        <f t="shared" si="4"/>
        <v>293.59836511806395</v>
      </c>
      <c r="N66" s="6">
        <f t="shared" si="5"/>
        <v>334.75364075690055</v>
      </c>
      <c r="O66" s="6">
        <f t="shared" si="6"/>
        <v>4.7232876712328764</v>
      </c>
      <c r="P66" s="6">
        <f t="shared" si="7"/>
        <v>28.339726027397258</v>
      </c>
      <c r="Q66" t="str">
        <f t="shared" si="8"/>
        <v>A</v>
      </c>
      <c r="R66" s="6">
        <f t="shared" si="9"/>
        <v>146.79918255903198</v>
      </c>
      <c r="S66" s="6">
        <f t="shared" si="10"/>
        <v>11.743934604722559</v>
      </c>
      <c r="T66" s="6">
        <f t="shared" si="11"/>
        <v>293.59836511806401</v>
      </c>
      <c r="U66" s="6">
        <f t="shared" si="12"/>
        <v>73.399591279515988</v>
      </c>
      <c r="V66" s="6">
        <f t="shared" si="13"/>
        <v>366.99795639757997</v>
      </c>
      <c r="W66">
        <v>71</v>
      </c>
      <c r="X66" t="str">
        <f t="shared" si="14"/>
        <v>OK</v>
      </c>
      <c r="Y66" s="6">
        <f t="shared" si="15"/>
        <v>11</v>
      </c>
      <c r="Z66" s="6">
        <f t="shared" si="16"/>
        <v>55</v>
      </c>
    </row>
    <row r="67" spans="1:26" x14ac:dyDescent="0.3">
      <c r="A67" s="3" t="str">
        <f t="shared" si="18"/>
        <v>SKU066</v>
      </c>
      <c r="B67" s="3">
        <v>1630</v>
      </c>
      <c r="C67" s="3">
        <f t="shared" ref="C67:C130" si="20">B67 * 1.3</f>
        <v>2119</v>
      </c>
      <c r="D67" s="3">
        <v>70.27</v>
      </c>
      <c r="E67" s="3">
        <v>19</v>
      </c>
      <c r="F67" s="3" t="str" cm="1">
        <f t="array" aca="1" ref="F67" ca="1">INDEX({"Electronics","Clothing","Food","Furniture"}, RANDBETWEEN(1,4))</f>
        <v>Electronics</v>
      </c>
      <c r="G67" s="3">
        <v>50</v>
      </c>
      <c r="H67" s="3">
        <v>2</v>
      </c>
      <c r="I67" s="3">
        <f t="shared" si="19"/>
        <v>114540.09999999999</v>
      </c>
      <c r="J67" s="3">
        <f t="shared" si="17"/>
        <v>9226825.1300000008</v>
      </c>
      <c r="K67" s="4">
        <f t="shared" ref="K67:K130" si="21">J67/$L$2</f>
        <v>0.31659428367656967</v>
      </c>
      <c r="M67" s="6">
        <f t="shared" ref="M67:M130" si="22">SQRT((2 * B67 * G67) / H67)</f>
        <v>285.48204847240396</v>
      </c>
      <c r="N67" s="6">
        <f t="shared" ref="N67:N130" si="23">SQRT((2 * C67 * G67) / H67)</f>
        <v>325.49961597519587</v>
      </c>
      <c r="O67" s="6">
        <f t="shared" ref="O67:O130" si="24">B67 / 365</f>
        <v>4.4657534246575343</v>
      </c>
      <c r="P67" s="6">
        <f t="shared" ref="P67:P130" si="25">E67*O67</f>
        <v>84.849315068493155</v>
      </c>
      <c r="Q67" t="str">
        <f t="shared" ref="Q67:Q130" si="26">IF(K67 &lt;= 0.8, "A", IF(K67 &lt;= 0.95, "B", "C"))</f>
        <v>A</v>
      </c>
      <c r="R67" s="6">
        <f t="shared" ref="R67:R130" si="27">M67/2</f>
        <v>142.74102423620198</v>
      </c>
      <c r="S67" s="6">
        <f t="shared" ref="S67:S130" si="28">B67/R67</f>
        <v>11.419281938896157</v>
      </c>
      <c r="T67" s="6">
        <f t="shared" ref="T67:T130" si="29">(B67/M67)*G67</f>
        <v>285.4820484724039</v>
      </c>
      <c r="U67" s="6">
        <f t="shared" ref="U67:U130" si="30">R67/H67</f>
        <v>71.37051211810099</v>
      </c>
      <c r="V67" s="6">
        <f t="shared" ref="V67:V130" si="31">T67+U67</f>
        <v>356.85256059050488</v>
      </c>
      <c r="W67">
        <v>92</v>
      </c>
      <c r="X67" t="str">
        <f t="shared" ref="X67:X130" si="32">IF(W67 &lt; P67, "ALERT", "OK")</f>
        <v>OK</v>
      </c>
      <c r="Y67" s="6">
        <f t="shared" ref="Y67:Y130" si="33">E67 + 5</f>
        <v>24</v>
      </c>
      <c r="Z67" s="6">
        <f t="shared" ref="Z67:Z130" si="34">ROUND(Y67, 0) * ROUND(O67, 0)</f>
        <v>96</v>
      </c>
    </row>
    <row r="68" spans="1:26" x14ac:dyDescent="0.3">
      <c r="A68" s="3" t="str">
        <f t="shared" si="18"/>
        <v>SKU067</v>
      </c>
      <c r="B68" s="3">
        <v>1145</v>
      </c>
      <c r="C68" s="3">
        <f t="shared" si="20"/>
        <v>1488.5</v>
      </c>
      <c r="D68" s="3">
        <v>99.07</v>
      </c>
      <c r="E68" s="3">
        <v>13</v>
      </c>
      <c r="F68" s="3" t="str" cm="1">
        <f t="array" aca="1" ref="F68" ca="1">INDEX({"Electronics","Clothing","Food","Furniture"}, RANDBETWEEN(1,4))</f>
        <v>Food</v>
      </c>
      <c r="G68" s="3">
        <v>50</v>
      </c>
      <c r="H68" s="3">
        <v>2</v>
      </c>
      <c r="I68" s="3">
        <f t="shared" si="19"/>
        <v>113435.15</v>
      </c>
      <c r="J68" s="3">
        <f t="shared" ref="J68:J131" si="35">SUM(J67+I68)</f>
        <v>9340260.2800000012</v>
      </c>
      <c r="K68" s="4">
        <f t="shared" si="21"/>
        <v>0.32048651307855835</v>
      </c>
      <c r="M68" s="6">
        <f t="shared" si="22"/>
        <v>239.26972228010797</v>
      </c>
      <c r="N68" s="6">
        <f t="shared" si="23"/>
        <v>272.80945731407479</v>
      </c>
      <c r="O68" s="6">
        <f t="shared" si="24"/>
        <v>3.1369863013698631</v>
      </c>
      <c r="P68" s="6">
        <f t="shared" si="25"/>
        <v>40.780821917808218</v>
      </c>
      <c r="Q68" t="str">
        <f t="shared" si="26"/>
        <v>A</v>
      </c>
      <c r="R68" s="6">
        <f t="shared" si="27"/>
        <v>119.63486114005399</v>
      </c>
      <c r="S68" s="6">
        <f t="shared" si="28"/>
        <v>9.5707888912043195</v>
      </c>
      <c r="T68" s="6">
        <f t="shared" si="29"/>
        <v>239.269722280108</v>
      </c>
      <c r="U68" s="6">
        <f t="shared" si="30"/>
        <v>59.817430570026993</v>
      </c>
      <c r="V68" s="6">
        <f t="shared" si="31"/>
        <v>299.087152850135</v>
      </c>
      <c r="W68">
        <v>1</v>
      </c>
      <c r="X68" t="str">
        <f t="shared" si="32"/>
        <v>ALERT</v>
      </c>
      <c r="Y68" s="6">
        <f t="shared" si="33"/>
        <v>18</v>
      </c>
      <c r="Z68" s="6">
        <f t="shared" si="34"/>
        <v>54</v>
      </c>
    </row>
    <row r="69" spans="1:26" x14ac:dyDescent="0.3">
      <c r="A69" s="3" t="str">
        <f t="shared" si="18"/>
        <v>SKU068</v>
      </c>
      <c r="B69" s="3">
        <v>1461</v>
      </c>
      <c r="C69" s="3">
        <f t="shared" si="20"/>
        <v>1899.3</v>
      </c>
      <c r="D69" s="3">
        <v>77.599999999999994</v>
      </c>
      <c r="E69" s="3">
        <v>19</v>
      </c>
      <c r="F69" s="3" t="str" cm="1">
        <f t="array" aca="1" ref="F69" ca="1">INDEX({"Electronics","Clothing","Food","Furniture"}, RANDBETWEEN(1,4))</f>
        <v>Electronics</v>
      </c>
      <c r="G69" s="3">
        <v>50</v>
      </c>
      <c r="H69" s="3">
        <v>2</v>
      </c>
      <c r="I69" s="3">
        <f t="shared" si="19"/>
        <v>113373.59999999999</v>
      </c>
      <c r="J69" s="3">
        <f t="shared" si="35"/>
        <v>9453633.8800000008</v>
      </c>
      <c r="K69" s="4">
        <f t="shared" si="21"/>
        <v>0.32437663055386745</v>
      </c>
      <c r="M69" s="6">
        <f t="shared" si="22"/>
        <v>270.27763503479156</v>
      </c>
      <c r="N69" s="6">
        <f t="shared" si="23"/>
        <v>308.16391742058318</v>
      </c>
      <c r="O69" s="6">
        <f t="shared" si="24"/>
        <v>4.0027397260273974</v>
      </c>
      <c r="P69" s="6">
        <f t="shared" si="25"/>
        <v>76.052054794520544</v>
      </c>
      <c r="Q69" t="str">
        <f t="shared" si="26"/>
        <v>A</v>
      </c>
      <c r="R69" s="6">
        <f t="shared" si="27"/>
        <v>135.13881751739578</v>
      </c>
      <c r="S69" s="6">
        <f t="shared" si="28"/>
        <v>10.811105401391664</v>
      </c>
      <c r="T69" s="6">
        <f t="shared" si="29"/>
        <v>270.27763503479161</v>
      </c>
      <c r="U69" s="6">
        <f t="shared" si="30"/>
        <v>67.56940875869789</v>
      </c>
      <c r="V69" s="6">
        <f t="shared" si="31"/>
        <v>337.84704379348949</v>
      </c>
      <c r="W69">
        <v>120</v>
      </c>
      <c r="X69" t="str">
        <f t="shared" si="32"/>
        <v>OK</v>
      </c>
      <c r="Y69" s="6">
        <f t="shared" si="33"/>
        <v>24</v>
      </c>
      <c r="Z69" s="6">
        <f t="shared" si="34"/>
        <v>96</v>
      </c>
    </row>
    <row r="70" spans="1:26" x14ac:dyDescent="0.3">
      <c r="A70" s="3" t="str">
        <f t="shared" si="18"/>
        <v>SKU069</v>
      </c>
      <c r="B70" s="3">
        <v>1169</v>
      </c>
      <c r="C70" s="3">
        <f t="shared" si="20"/>
        <v>1519.7</v>
      </c>
      <c r="D70" s="3">
        <v>96.43</v>
      </c>
      <c r="E70" s="3">
        <v>2</v>
      </c>
      <c r="F70" s="3" t="str" cm="1">
        <f t="array" aca="1" ref="F70" ca="1">INDEX({"Electronics","Clothing","Food","Furniture"}, RANDBETWEEN(1,4))</f>
        <v>Furniture</v>
      </c>
      <c r="G70" s="3">
        <v>50</v>
      </c>
      <c r="H70" s="3">
        <v>2</v>
      </c>
      <c r="I70" s="3">
        <f t="shared" si="19"/>
        <v>112726.67000000001</v>
      </c>
      <c r="J70" s="3">
        <f t="shared" si="35"/>
        <v>9566360.5500000007</v>
      </c>
      <c r="K70" s="4">
        <f t="shared" si="21"/>
        <v>0.32824455032443484</v>
      </c>
      <c r="M70" s="6">
        <f t="shared" si="22"/>
        <v>241.76434807473166</v>
      </c>
      <c r="N70" s="6">
        <f t="shared" si="23"/>
        <v>275.65376833992309</v>
      </c>
      <c r="O70" s="6">
        <f t="shared" si="24"/>
        <v>3.2027397260273971</v>
      </c>
      <c r="P70" s="6">
        <f t="shared" si="25"/>
        <v>6.4054794520547942</v>
      </c>
      <c r="Q70" t="str">
        <f t="shared" si="26"/>
        <v>A</v>
      </c>
      <c r="R70" s="6">
        <f t="shared" si="27"/>
        <v>120.88217403736583</v>
      </c>
      <c r="S70" s="6">
        <f t="shared" si="28"/>
        <v>9.6705739229892647</v>
      </c>
      <c r="T70" s="6">
        <f t="shared" si="29"/>
        <v>241.76434807473163</v>
      </c>
      <c r="U70" s="6">
        <f t="shared" si="30"/>
        <v>60.441087018682914</v>
      </c>
      <c r="V70" s="6">
        <f t="shared" si="31"/>
        <v>302.20543509341456</v>
      </c>
      <c r="W70">
        <v>0</v>
      </c>
      <c r="X70" t="str">
        <f t="shared" si="32"/>
        <v>ALERT</v>
      </c>
      <c r="Y70" s="6">
        <f t="shared" si="33"/>
        <v>7</v>
      </c>
      <c r="Z70" s="6">
        <f t="shared" si="34"/>
        <v>21</v>
      </c>
    </row>
    <row r="71" spans="1:26" x14ac:dyDescent="0.3">
      <c r="A71" s="3" t="str">
        <f t="shared" si="18"/>
        <v>SKU070</v>
      </c>
      <c r="B71" s="3">
        <v>1214</v>
      </c>
      <c r="C71" s="3">
        <f t="shared" si="20"/>
        <v>1578.2</v>
      </c>
      <c r="D71" s="3">
        <v>92.59</v>
      </c>
      <c r="E71" s="3">
        <v>28</v>
      </c>
      <c r="F71" s="3" t="str" cm="1">
        <f t="array" aca="1" ref="F71" ca="1">INDEX({"Electronics","Clothing","Food","Furniture"}, RANDBETWEEN(1,4))</f>
        <v>Clothing</v>
      </c>
      <c r="G71" s="3">
        <v>50</v>
      </c>
      <c r="H71" s="3">
        <v>2</v>
      </c>
      <c r="I71" s="3">
        <f t="shared" si="19"/>
        <v>112404.26000000001</v>
      </c>
      <c r="J71" s="3">
        <f t="shared" si="35"/>
        <v>9678764.8100000005</v>
      </c>
      <c r="K71" s="4">
        <f t="shared" si="21"/>
        <v>0.33210140744218697</v>
      </c>
      <c r="M71" s="6">
        <f t="shared" si="22"/>
        <v>246.37369989509838</v>
      </c>
      <c r="N71" s="6">
        <f t="shared" si="23"/>
        <v>280.90923801114127</v>
      </c>
      <c r="O71" s="6">
        <f t="shared" si="24"/>
        <v>3.3260273972602739</v>
      </c>
      <c r="P71" s="6">
        <f t="shared" si="25"/>
        <v>93.128767123287673</v>
      </c>
      <c r="Q71" t="str">
        <f t="shared" si="26"/>
        <v>A</v>
      </c>
      <c r="R71" s="6">
        <f t="shared" si="27"/>
        <v>123.18684994754919</v>
      </c>
      <c r="S71" s="6">
        <f t="shared" si="28"/>
        <v>9.8549479958039345</v>
      </c>
      <c r="T71" s="6">
        <f t="shared" si="29"/>
        <v>246.37369989509835</v>
      </c>
      <c r="U71" s="6">
        <f t="shared" si="30"/>
        <v>61.593424973774596</v>
      </c>
      <c r="V71" s="6">
        <f t="shared" si="31"/>
        <v>307.96712486887293</v>
      </c>
      <c r="W71">
        <v>128</v>
      </c>
      <c r="X71" t="str">
        <f t="shared" si="32"/>
        <v>OK</v>
      </c>
      <c r="Y71" s="6">
        <f t="shared" si="33"/>
        <v>33</v>
      </c>
      <c r="Z71" s="6">
        <f t="shared" si="34"/>
        <v>99</v>
      </c>
    </row>
    <row r="72" spans="1:26" x14ac:dyDescent="0.3">
      <c r="A72" s="3" t="str">
        <f t="shared" si="18"/>
        <v>SKU071</v>
      </c>
      <c r="B72" s="3">
        <v>1172</v>
      </c>
      <c r="C72" s="3">
        <f t="shared" si="20"/>
        <v>1523.6000000000001</v>
      </c>
      <c r="D72" s="3">
        <v>94.85</v>
      </c>
      <c r="E72" s="3">
        <v>7</v>
      </c>
      <c r="F72" s="3" t="str" cm="1">
        <f t="array" aca="1" ref="F72" ca="1">INDEX({"Electronics","Clothing","Food","Furniture"}, RANDBETWEEN(1,4))</f>
        <v>Electronics</v>
      </c>
      <c r="G72" s="3">
        <v>50</v>
      </c>
      <c r="H72" s="3">
        <v>2</v>
      </c>
      <c r="I72" s="3">
        <f t="shared" si="19"/>
        <v>111164.2</v>
      </c>
      <c r="J72" s="3">
        <f t="shared" si="35"/>
        <v>9789929.0099999998</v>
      </c>
      <c r="K72" s="4">
        <f t="shared" si="21"/>
        <v>0.33591571515622931</v>
      </c>
      <c r="M72" s="6">
        <f t="shared" si="22"/>
        <v>242.0743687382041</v>
      </c>
      <c r="N72" s="6">
        <f t="shared" si="23"/>
        <v>276.00724628168734</v>
      </c>
      <c r="O72" s="6">
        <f t="shared" si="24"/>
        <v>3.2109589041095892</v>
      </c>
      <c r="P72" s="6">
        <f t="shared" si="25"/>
        <v>22.476712328767125</v>
      </c>
      <c r="Q72" t="str">
        <f t="shared" si="26"/>
        <v>A</v>
      </c>
      <c r="R72" s="6">
        <f t="shared" si="27"/>
        <v>121.03718436910205</v>
      </c>
      <c r="S72" s="6">
        <f t="shared" si="28"/>
        <v>9.6829747495281637</v>
      </c>
      <c r="T72" s="6">
        <f t="shared" si="29"/>
        <v>242.0743687382041</v>
      </c>
      <c r="U72" s="6">
        <f t="shared" si="30"/>
        <v>60.518592184551025</v>
      </c>
      <c r="V72" s="6">
        <f t="shared" si="31"/>
        <v>302.59296092275514</v>
      </c>
      <c r="W72">
        <v>29</v>
      </c>
      <c r="X72" t="str">
        <f t="shared" si="32"/>
        <v>OK</v>
      </c>
      <c r="Y72" s="6">
        <f t="shared" si="33"/>
        <v>12</v>
      </c>
      <c r="Z72" s="6">
        <f t="shared" si="34"/>
        <v>36</v>
      </c>
    </row>
    <row r="73" spans="1:26" x14ac:dyDescent="0.3">
      <c r="A73" s="3" t="str">
        <f t="shared" si="18"/>
        <v>SKU072</v>
      </c>
      <c r="B73" s="3">
        <v>1208</v>
      </c>
      <c r="C73" s="3">
        <f t="shared" si="20"/>
        <v>1570.4</v>
      </c>
      <c r="D73" s="3">
        <v>91.35</v>
      </c>
      <c r="E73" s="3">
        <v>19</v>
      </c>
      <c r="F73" s="3" t="str" cm="1">
        <f t="array" aca="1" ref="F73" ca="1">INDEX({"Electronics","Clothing","Food","Furniture"}, RANDBETWEEN(1,4))</f>
        <v>Clothing</v>
      </c>
      <c r="G73" s="3">
        <v>50</v>
      </c>
      <c r="H73" s="3">
        <v>2</v>
      </c>
      <c r="I73" s="3">
        <f t="shared" si="19"/>
        <v>110350.79999999999</v>
      </c>
      <c r="J73" s="3">
        <f t="shared" si="35"/>
        <v>9900279.8100000005</v>
      </c>
      <c r="K73" s="4">
        <f t="shared" si="21"/>
        <v>0.33970211318446814</v>
      </c>
      <c r="M73" s="6">
        <f t="shared" si="22"/>
        <v>245.76411454889015</v>
      </c>
      <c r="N73" s="6">
        <f t="shared" si="23"/>
        <v>280.21420377989409</v>
      </c>
      <c r="O73" s="6">
        <f t="shared" si="24"/>
        <v>3.3095890410958906</v>
      </c>
      <c r="P73" s="6">
        <f t="shared" si="25"/>
        <v>62.88219178082192</v>
      </c>
      <c r="Q73" t="str">
        <f t="shared" si="26"/>
        <v>A</v>
      </c>
      <c r="R73" s="6">
        <f t="shared" si="27"/>
        <v>122.88205727444507</v>
      </c>
      <c r="S73" s="6">
        <f t="shared" si="28"/>
        <v>9.8305645819556062</v>
      </c>
      <c r="T73" s="6">
        <f t="shared" si="29"/>
        <v>245.76411454889015</v>
      </c>
      <c r="U73" s="6">
        <f t="shared" si="30"/>
        <v>61.441028637222537</v>
      </c>
      <c r="V73" s="6">
        <f t="shared" si="31"/>
        <v>307.20514318611271</v>
      </c>
      <c r="W73">
        <v>49</v>
      </c>
      <c r="X73" t="str">
        <f t="shared" si="32"/>
        <v>ALERT</v>
      </c>
      <c r="Y73" s="6">
        <f t="shared" si="33"/>
        <v>24</v>
      </c>
      <c r="Z73" s="6">
        <f t="shared" si="34"/>
        <v>72</v>
      </c>
    </row>
    <row r="74" spans="1:26" x14ac:dyDescent="0.3">
      <c r="A74" s="3" t="str">
        <f t="shared" si="18"/>
        <v>SKU073</v>
      </c>
      <c r="B74" s="3">
        <v>1978</v>
      </c>
      <c r="C74" s="3">
        <f t="shared" si="20"/>
        <v>2571.4</v>
      </c>
      <c r="D74" s="3">
        <v>55.62</v>
      </c>
      <c r="E74" s="3">
        <v>1</v>
      </c>
      <c r="F74" s="3" t="str" cm="1">
        <f t="array" aca="1" ref="F74" ca="1">INDEX({"Electronics","Clothing","Food","Furniture"}, RANDBETWEEN(1,4))</f>
        <v>Food</v>
      </c>
      <c r="G74" s="3">
        <v>50</v>
      </c>
      <c r="H74" s="3">
        <v>2</v>
      </c>
      <c r="I74" s="3">
        <f t="shared" si="19"/>
        <v>110016.36</v>
      </c>
      <c r="J74" s="3">
        <f t="shared" si="35"/>
        <v>10010296.17</v>
      </c>
      <c r="K74" s="4">
        <f t="shared" si="21"/>
        <v>0.34347703578202077</v>
      </c>
      <c r="M74" s="6">
        <f t="shared" si="22"/>
        <v>314.48370387032776</v>
      </c>
      <c r="N74" s="6">
        <f t="shared" si="23"/>
        <v>358.5665907471024</v>
      </c>
      <c r="O74" s="6">
        <f t="shared" si="24"/>
        <v>5.419178082191781</v>
      </c>
      <c r="P74" s="6">
        <f t="shared" si="25"/>
        <v>5.419178082191781</v>
      </c>
      <c r="Q74" t="str">
        <f t="shared" si="26"/>
        <v>A</v>
      </c>
      <c r="R74" s="6">
        <f t="shared" si="27"/>
        <v>157.24185193516388</v>
      </c>
      <c r="S74" s="6">
        <f t="shared" si="28"/>
        <v>12.579348154813109</v>
      </c>
      <c r="T74" s="6">
        <f t="shared" si="29"/>
        <v>314.48370387032776</v>
      </c>
      <c r="U74" s="6">
        <f t="shared" si="30"/>
        <v>78.62092596758194</v>
      </c>
      <c r="V74" s="6">
        <f t="shared" si="31"/>
        <v>393.10462983790967</v>
      </c>
      <c r="W74">
        <v>1</v>
      </c>
      <c r="X74" t="str">
        <f t="shared" si="32"/>
        <v>ALERT</v>
      </c>
      <c r="Y74" s="6">
        <f t="shared" si="33"/>
        <v>6</v>
      </c>
      <c r="Z74" s="6">
        <f t="shared" si="34"/>
        <v>30</v>
      </c>
    </row>
    <row r="75" spans="1:26" x14ac:dyDescent="0.3">
      <c r="A75" s="3" t="str">
        <f t="shared" si="18"/>
        <v>SKU074</v>
      </c>
      <c r="B75" s="3">
        <v>1691</v>
      </c>
      <c r="C75" s="3">
        <f t="shared" si="20"/>
        <v>2198.3000000000002</v>
      </c>
      <c r="D75" s="3">
        <v>65.040000000000006</v>
      </c>
      <c r="E75" s="3">
        <v>3</v>
      </c>
      <c r="F75" s="3" t="str" cm="1">
        <f t="array" aca="1" ref="F75" ca="1">INDEX({"Electronics","Clothing","Food","Furniture"}, RANDBETWEEN(1,4))</f>
        <v>Furniture</v>
      </c>
      <c r="G75" s="3">
        <v>50</v>
      </c>
      <c r="H75" s="3">
        <v>2</v>
      </c>
      <c r="I75" s="3">
        <f t="shared" si="19"/>
        <v>109982.64000000001</v>
      </c>
      <c r="J75" s="3">
        <f t="shared" si="35"/>
        <v>10120278.810000001</v>
      </c>
      <c r="K75" s="4">
        <f t="shared" si="21"/>
        <v>0.34725080136628933</v>
      </c>
      <c r="M75" s="6">
        <f t="shared" si="22"/>
        <v>290.77482697097423</v>
      </c>
      <c r="N75" s="6">
        <f t="shared" si="23"/>
        <v>331.53431194975883</v>
      </c>
      <c r="O75" s="6">
        <f t="shared" si="24"/>
        <v>4.6328767123287671</v>
      </c>
      <c r="P75" s="6">
        <f t="shared" si="25"/>
        <v>13.898630136986302</v>
      </c>
      <c r="Q75" t="str">
        <f t="shared" si="26"/>
        <v>A</v>
      </c>
      <c r="R75" s="6">
        <f t="shared" si="27"/>
        <v>145.38741348548712</v>
      </c>
      <c r="S75" s="6">
        <f t="shared" si="28"/>
        <v>11.630993078838969</v>
      </c>
      <c r="T75" s="6">
        <f t="shared" si="29"/>
        <v>290.77482697097423</v>
      </c>
      <c r="U75" s="6">
        <f t="shared" si="30"/>
        <v>72.693706742743558</v>
      </c>
      <c r="V75" s="6">
        <f t="shared" si="31"/>
        <v>363.46853371371776</v>
      </c>
      <c r="W75">
        <v>59</v>
      </c>
      <c r="X75" t="str">
        <f t="shared" si="32"/>
        <v>OK</v>
      </c>
      <c r="Y75" s="6">
        <f t="shared" si="33"/>
        <v>8</v>
      </c>
      <c r="Z75" s="6">
        <f t="shared" si="34"/>
        <v>40</v>
      </c>
    </row>
    <row r="76" spans="1:26" x14ac:dyDescent="0.3">
      <c r="A76" s="3" t="str">
        <f t="shared" si="18"/>
        <v>SKU075</v>
      </c>
      <c r="B76" s="3">
        <v>1143</v>
      </c>
      <c r="C76" s="3">
        <f t="shared" si="20"/>
        <v>1485.9</v>
      </c>
      <c r="D76" s="3">
        <v>96.03</v>
      </c>
      <c r="E76" s="3">
        <v>12</v>
      </c>
      <c r="F76" s="3" t="str" cm="1">
        <f t="array" aca="1" ref="F76" ca="1">INDEX({"Electronics","Clothing","Food","Furniture"}, RANDBETWEEN(1,4))</f>
        <v>Clothing</v>
      </c>
      <c r="G76" s="3">
        <v>50</v>
      </c>
      <c r="H76" s="3">
        <v>2</v>
      </c>
      <c r="I76" s="3">
        <f t="shared" si="19"/>
        <v>109762.29000000001</v>
      </c>
      <c r="J76" s="3">
        <f t="shared" si="35"/>
        <v>10230041.1</v>
      </c>
      <c r="K76" s="4">
        <f t="shared" si="21"/>
        <v>0.35101700621873239</v>
      </c>
      <c r="M76" s="6">
        <f t="shared" si="22"/>
        <v>239.0606617576384</v>
      </c>
      <c r="N76" s="6">
        <f t="shared" si="23"/>
        <v>272.57109164399662</v>
      </c>
      <c r="O76" s="6">
        <f t="shared" si="24"/>
        <v>3.1315068493150684</v>
      </c>
      <c r="P76" s="6">
        <f t="shared" si="25"/>
        <v>37.578082191780823</v>
      </c>
      <c r="Q76" t="str">
        <f t="shared" si="26"/>
        <v>A</v>
      </c>
      <c r="R76" s="6">
        <f t="shared" si="27"/>
        <v>119.5303308788192</v>
      </c>
      <c r="S76" s="6">
        <f t="shared" si="28"/>
        <v>9.5624264703055371</v>
      </c>
      <c r="T76" s="6">
        <f t="shared" si="29"/>
        <v>239.06066175763843</v>
      </c>
      <c r="U76" s="6">
        <f t="shared" si="30"/>
        <v>59.7651654394096</v>
      </c>
      <c r="V76" s="6">
        <f t="shared" si="31"/>
        <v>298.82582719704806</v>
      </c>
      <c r="W76">
        <v>31</v>
      </c>
      <c r="X76" t="str">
        <f t="shared" si="32"/>
        <v>ALERT</v>
      </c>
      <c r="Y76" s="6">
        <f t="shared" si="33"/>
        <v>17</v>
      </c>
      <c r="Z76" s="6">
        <f t="shared" si="34"/>
        <v>51</v>
      </c>
    </row>
    <row r="77" spans="1:26" x14ac:dyDescent="0.3">
      <c r="A77" s="3" t="str">
        <f t="shared" si="18"/>
        <v>SKU076</v>
      </c>
      <c r="B77" s="3">
        <v>1245</v>
      </c>
      <c r="C77" s="3">
        <f t="shared" si="20"/>
        <v>1618.5</v>
      </c>
      <c r="D77" s="3">
        <v>88</v>
      </c>
      <c r="E77" s="3">
        <v>14</v>
      </c>
      <c r="F77" s="3" t="str" cm="1">
        <f t="array" aca="1" ref="F77" ca="1">INDEX({"Electronics","Clothing","Food","Furniture"}, RANDBETWEEN(1,4))</f>
        <v>Furniture</v>
      </c>
      <c r="G77" s="3">
        <v>50</v>
      </c>
      <c r="H77" s="3">
        <v>2</v>
      </c>
      <c r="I77" s="3">
        <f t="shared" si="19"/>
        <v>109560</v>
      </c>
      <c r="J77" s="3">
        <f t="shared" si="35"/>
        <v>10339601.1</v>
      </c>
      <c r="K77" s="4">
        <f t="shared" si="21"/>
        <v>0.35477627002084205</v>
      </c>
      <c r="M77" s="6">
        <f t="shared" si="22"/>
        <v>249.49949899749299</v>
      </c>
      <c r="N77" s="6">
        <f t="shared" si="23"/>
        <v>284.47319733148851</v>
      </c>
      <c r="O77" s="6">
        <f t="shared" si="24"/>
        <v>3.4109589041095889</v>
      </c>
      <c r="P77" s="6">
        <f t="shared" si="25"/>
        <v>47.753424657534246</v>
      </c>
      <c r="Q77" t="str">
        <f t="shared" si="26"/>
        <v>A</v>
      </c>
      <c r="R77" s="6">
        <f t="shared" si="27"/>
        <v>124.7497494987465</v>
      </c>
      <c r="S77" s="6">
        <f t="shared" si="28"/>
        <v>9.979979959899719</v>
      </c>
      <c r="T77" s="6">
        <f t="shared" si="29"/>
        <v>249.49949899749296</v>
      </c>
      <c r="U77" s="6">
        <f t="shared" si="30"/>
        <v>62.374874749373248</v>
      </c>
      <c r="V77" s="6">
        <f t="shared" si="31"/>
        <v>311.87437374686624</v>
      </c>
      <c r="W77">
        <v>92</v>
      </c>
      <c r="X77" t="str">
        <f t="shared" si="32"/>
        <v>OK</v>
      </c>
      <c r="Y77" s="6">
        <f t="shared" si="33"/>
        <v>19</v>
      </c>
      <c r="Z77" s="6">
        <f t="shared" si="34"/>
        <v>57</v>
      </c>
    </row>
    <row r="78" spans="1:26" x14ac:dyDescent="0.3">
      <c r="A78" s="3" t="str">
        <f t="shared" si="18"/>
        <v>SKU077</v>
      </c>
      <c r="B78" s="3">
        <v>1858</v>
      </c>
      <c r="C78" s="3">
        <f t="shared" si="20"/>
        <v>2415.4</v>
      </c>
      <c r="D78" s="3">
        <v>58.83</v>
      </c>
      <c r="E78" s="3">
        <v>17</v>
      </c>
      <c r="F78" s="3" t="str" cm="1">
        <f t="array" aca="1" ref="F78" ca="1">INDEX({"Electronics","Clothing","Food","Furniture"}, RANDBETWEEN(1,4))</f>
        <v>Furniture</v>
      </c>
      <c r="G78" s="3">
        <v>50</v>
      </c>
      <c r="H78" s="3">
        <v>2</v>
      </c>
      <c r="I78" s="3">
        <f t="shared" si="19"/>
        <v>109306.14</v>
      </c>
      <c r="J78" s="3">
        <f t="shared" si="35"/>
        <v>10448907.24</v>
      </c>
      <c r="K78" s="4">
        <f t="shared" si="21"/>
        <v>0.35852682328344099</v>
      </c>
      <c r="M78" s="6">
        <f t="shared" si="22"/>
        <v>304.7950130825634</v>
      </c>
      <c r="N78" s="6">
        <f t="shared" si="23"/>
        <v>347.51978360950903</v>
      </c>
      <c r="O78" s="6">
        <f t="shared" si="24"/>
        <v>5.0904109589041093</v>
      </c>
      <c r="P78" s="6">
        <f t="shared" si="25"/>
        <v>86.536986301369865</v>
      </c>
      <c r="Q78" t="str">
        <f t="shared" si="26"/>
        <v>A</v>
      </c>
      <c r="R78" s="6">
        <f t="shared" si="27"/>
        <v>152.3975065412817</v>
      </c>
      <c r="S78" s="6">
        <f t="shared" si="28"/>
        <v>12.191800523302536</v>
      </c>
      <c r="T78" s="6">
        <f t="shared" si="29"/>
        <v>304.7950130825634</v>
      </c>
      <c r="U78" s="6">
        <f t="shared" si="30"/>
        <v>76.19875327064085</v>
      </c>
      <c r="V78" s="6">
        <f t="shared" si="31"/>
        <v>380.99376635320425</v>
      </c>
      <c r="W78">
        <v>126</v>
      </c>
      <c r="X78" t="str">
        <f t="shared" si="32"/>
        <v>OK</v>
      </c>
      <c r="Y78" s="6">
        <f t="shared" si="33"/>
        <v>22</v>
      </c>
      <c r="Z78" s="6">
        <f t="shared" si="34"/>
        <v>110</v>
      </c>
    </row>
    <row r="79" spans="1:26" x14ac:dyDescent="0.3">
      <c r="A79" s="3" t="str">
        <f t="shared" si="18"/>
        <v>SKU078</v>
      </c>
      <c r="B79" s="3">
        <v>1343</v>
      </c>
      <c r="C79" s="3">
        <f t="shared" si="20"/>
        <v>1745.9</v>
      </c>
      <c r="D79" s="3">
        <v>80.92</v>
      </c>
      <c r="E79" s="3">
        <v>10</v>
      </c>
      <c r="F79" s="3" t="str" cm="1">
        <f t="array" aca="1" ref="F79" ca="1">INDEX({"Electronics","Clothing","Food","Furniture"}, RANDBETWEEN(1,4))</f>
        <v>Clothing</v>
      </c>
      <c r="G79" s="3">
        <v>50</v>
      </c>
      <c r="H79" s="3">
        <v>2</v>
      </c>
      <c r="I79" s="3">
        <f t="shared" si="19"/>
        <v>108675.56</v>
      </c>
      <c r="J79" s="3">
        <f t="shared" si="35"/>
        <v>10557582.800000001</v>
      </c>
      <c r="K79" s="4">
        <f t="shared" si="21"/>
        <v>0.36225573984862902</v>
      </c>
      <c r="M79" s="6">
        <f t="shared" si="22"/>
        <v>259.13317039699876</v>
      </c>
      <c r="N79" s="6">
        <f t="shared" si="23"/>
        <v>295.45727271468542</v>
      </c>
      <c r="O79" s="6">
        <f t="shared" si="24"/>
        <v>3.6794520547945204</v>
      </c>
      <c r="P79" s="6">
        <f t="shared" si="25"/>
        <v>36.794520547945204</v>
      </c>
      <c r="Q79" t="str">
        <f t="shared" si="26"/>
        <v>A</v>
      </c>
      <c r="R79" s="6">
        <f t="shared" si="27"/>
        <v>129.56658519849938</v>
      </c>
      <c r="S79" s="6">
        <f t="shared" si="28"/>
        <v>10.365326815879952</v>
      </c>
      <c r="T79" s="6">
        <f t="shared" si="29"/>
        <v>259.13317039699876</v>
      </c>
      <c r="U79" s="6">
        <f t="shared" si="30"/>
        <v>64.783292599249691</v>
      </c>
      <c r="V79" s="6">
        <f t="shared" si="31"/>
        <v>323.91646299624847</v>
      </c>
      <c r="W79">
        <v>23</v>
      </c>
      <c r="X79" t="str">
        <f t="shared" si="32"/>
        <v>ALERT</v>
      </c>
      <c r="Y79" s="6">
        <f t="shared" si="33"/>
        <v>15</v>
      </c>
      <c r="Z79" s="6">
        <f t="shared" si="34"/>
        <v>60</v>
      </c>
    </row>
    <row r="80" spans="1:26" x14ac:dyDescent="0.3">
      <c r="A80" s="3" t="str">
        <f t="shared" si="18"/>
        <v>SKU079</v>
      </c>
      <c r="B80" s="3">
        <v>1105</v>
      </c>
      <c r="C80" s="3">
        <f t="shared" si="20"/>
        <v>1436.5</v>
      </c>
      <c r="D80" s="3">
        <v>98.01</v>
      </c>
      <c r="E80" s="3">
        <v>4</v>
      </c>
      <c r="F80" s="3" t="str" cm="1">
        <f t="array" aca="1" ref="F80" ca="1">INDEX({"Electronics","Clothing","Food","Furniture"}, RANDBETWEEN(1,4))</f>
        <v>Furniture</v>
      </c>
      <c r="G80" s="3">
        <v>50</v>
      </c>
      <c r="H80" s="3">
        <v>2</v>
      </c>
      <c r="I80" s="3">
        <f t="shared" si="19"/>
        <v>108301.05</v>
      </c>
      <c r="J80" s="3">
        <f t="shared" si="35"/>
        <v>10665883.850000001</v>
      </c>
      <c r="K80" s="4">
        <f t="shared" si="21"/>
        <v>0.36597180608626567</v>
      </c>
      <c r="M80" s="6">
        <f t="shared" si="22"/>
        <v>235.05318547086316</v>
      </c>
      <c r="N80" s="6">
        <f t="shared" si="23"/>
        <v>268.00186566514793</v>
      </c>
      <c r="O80" s="6">
        <f t="shared" si="24"/>
        <v>3.0273972602739727</v>
      </c>
      <c r="P80" s="6">
        <f t="shared" si="25"/>
        <v>12.109589041095891</v>
      </c>
      <c r="Q80" t="str">
        <f t="shared" si="26"/>
        <v>A</v>
      </c>
      <c r="R80" s="6">
        <f t="shared" si="27"/>
        <v>117.52659273543158</v>
      </c>
      <c r="S80" s="6">
        <f t="shared" si="28"/>
        <v>9.4021274188345281</v>
      </c>
      <c r="T80" s="6">
        <f t="shared" si="29"/>
        <v>235.05318547086321</v>
      </c>
      <c r="U80" s="6">
        <f t="shared" si="30"/>
        <v>58.763296367715789</v>
      </c>
      <c r="V80" s="6">
        <f t="shared" si="31"/>
        <v>293.81648183857902</v>
      </c>
      <c r="W80">
        <v>4</v>
      </c>
      <c r="X80" t="str">
        <f t="shared" si="32"/>
        <v>ALERT</v>
      </c>
      <c r="Y80" s="6">
        <f t="shared" si="33"/>
        <v>9</v>
      </c>
      <c r="Z80" s="6">
        <f t="shared" si="34"/>
        <v>27</v>
      </c>
    </row>
    <row r="81" spans="1:26" x14ac:dyDescent="0.3">
      <c r="A81" s="3" t="str">
        <f t="shared" si="18"/>
        <v>SKU080</v>
      </c>
      <c r="B81" s="3">
        <v>1890</v>
      </c>
      <c r="C81" s="3">
        <f t="shared" si="20"/>
        <v>2457</v>
      </c>
      <c r="D81" s="3">
        <v>57.25</v>
      </c>
      <c r="E81" s="3">
        <v>26</v>
      </c>
      <c r="F81" s="3" t="str" cm="1">
        <f t="array" aca="1" ref="F81" ca="1">INDEX({"Electronics","Clothing","Food","Furniture"}, RANDBETWEEN(1,4))</f>
        <v>Food</v>
      </c>
      <c r="G81" s="3">
        <v>50</v>
      </c>
      <c r="H81" s="3">
        <v>2</v>
      </c>
      <c r="I81" s="3">
        <f t="shared" si="19"/>
        <v>108202.5</v>
      </c>
      <c r="J81" s="3">
        <f t="shared" si="35"/>
        <v>10774086.350000001</v>
      </c>
      <c r="K81" s="4">
        <f t="shared" si="21"/>
        <v>0.36968449083934868</v>
      </c>
      <c r="M81" s="6">
        <f t="shared" si="22"/>
        <v>307.40852297878797</v>
      </c>
      <c r="N81" s="6">
        <f t="shared" si="23"/>
        <v>350.49964336643768</v>
      </c>
      <c r="O81" s="6">
        <f t="shared" si="24"/>
        <v>5.1780821917808222</v>
      </c>
      <c r="P81" s="6">
        <f t="shared" si="25"/>
        <v>134.63013698630138</v>
      </c>
      <c r="Q81" t="str">
        <f t="shared" si="26"/>
        <v>A</v>
      </c>
      <c r="R81" s="6">
        <f t="shared" si="27"/>
        <v>153.70426148939399</v>
      </c>
      <c r="S81" s="6">
        <f t="shared" si="28"/>
        <v>12.296340919151517</v>
      </c>
      <c r="T81" s="6">
        <f t="shared" si="29"/>
        <v>307.40852297878791</v>
      </c>
      <c r="U81" s="6">
        <f t="shared" si="30"/>
        <v>76.852130744696993</v>
      </c>
      <c r="V81" s="6">
        <f t="shared" si="31"/>
        <v>384.26065372348489</v>
      </c>
      <c r="W81">
        <v>52</v>
      </c>
      <c r="X81" t="str">
        <f t="shared" si="32"/>
        <v>ALERT</v>
      </c>
      <c r="Y81" s="6">
        <f t="shared" si="33"/>
        <v>31</v>
      </c>
      <c r="Z81" s="6">
        <f t="shared" si="34"/>
        <v>155</v>
      </c>
    </row>
    <row r="82" spans="1:26" x14ac:dyDescent="0.3">
      <c r="A82" s="3" t="str">
        <f t="shared" si="18"/>
        <v>SKU081</v>
      </c>
      <c r="B82" s="3">
        <v>1140</v>
      </c>
      <c r="C82" s="3">
        <f t="shared" si="20"/>
        <v>1482</v>
      </c>
      <c r="D82" s="3">
        <v>93.7</v>
      </c>
      <c r="E82" s="3">
        <v>30</v>
      </c>
      <c r="F82" s="3" t="str" cm="1">
        <f t="array" aca="1" ref="F82" ca="1">INDEX({"Electronics","Clothing","Food","Furniture"}, RANDBETWEEN(1,4))</f>
        <v>Furniture</v>
      </c>
      <c r="G82" s="3">
        <v>50</v>
      </c>
      <c r="H82" s="3">
        <v>2</v>
      </c>
      <c r="I82" s="3">
        <f t="shared" si="19"/>
        <v>106818</v>
      </c>
      <c r="J82" s="3">
        <f t="shared" si="35"/>
        <v>10880904.350000001</v>
      </c>
      <c r="K82" s="4">
        <f t="shared" si="21"/>
        <v>0.37334967010928066</v>
      </c>
      <c r="M82" s="6">
        <f t="shared" si="22"/>
        <v>238.74672772626644</v>
      </c>
      <c r="N82" s="6">
        <f t="shared" si="23"/>
        <v>272.21315177632397</v>
      </c>
      <c r="O82" s="6">
        <f t="shared" si="24"/>
        <v>3.1232876712328768</v>
      </c>
      <c r="P82" s="6">
        <f t="shared" si="25"/>
        <v>93.69863013698631</v>
      </c>
      <c r="Q82" t="str">
        <f t="shared" si="26"/>
        <v>A</v>
      </c>
      <c r="R82" s="6">
        <f t="shared" si="27"/>
        <v>119.37336386313322</v>
      </c>
      <c r="S82" s="6">
        <f t="shared" si="28"/>
        <v>9.5498691090506576</v>
      </c>
      <c r="T82" s="6">
        <f t="shared" si="29"/>
        <v>238.74672772626644</v>
      </c>
      <c r="U82" s="6">
        <f t="shared" si="30"/>
        <v>59.686681931566611</v>
      </c>
      <c r="V82" s="6">
        <f t="shared" si="31"/>
        <v>298.43340965783307</v>
      </c>
      <c r="W82">
        <v>64</v>
      </c>
      <c r="X82" t="str">
        <f t="shared" si="32"/>
        <v>ALERT</v>
      </c>
      <c r="Y82" s="6">
        <f t="shared" si="33"/>
        <v>35</v>
      </c>
      <c r="Z82" s="6">
        <f t="shared" si="34"/>
        <v>105</v>
      </c>
    </row>
    <row r="83" spans="1:26" x14ac:dyDescent="0.3">
      <c r="A83" s="3" t="str">
        <f t="shared" si="18"/>
        <v>SKU082</v>
      </c>
      <c r="B83" s="3">
        <v>1502</v>
      </c>
      <c r="C83" s="3">
        <f t="shared" si="20"/>
        <v>1952.6000000000001</v>
      </c>
      <c r="D83" s="3">
        <v>70.78</v>
      </c>
      <c r="E83" s="3">
        <v>23</v>
      </c>
      <c r="F83" s="3" t="str" cm="1">
        <f t="array" aca="1" ref="F83" ca="1">INDEX({"Electronics","Clothing","Food","Furniture"}, RANDBETWEEN(1,4))</f>
        <v>Food</v>
      </c>
      <c r="G83" s="3">
        <v>50</v>
      </c>
      <c r="H83" s="3">
        <v>2</v>
      </c>
      <c r="I83" s="3">
        <f t="shared" si="19"/>
        <v>106311.56</v>
      </c>
      <c r="J83" s="3">
        <f t="shared" si="35"/>
        <v>10987215.910000002</v>
      </c>
      <c r="K83" s="4">
        <f t="shared" si="21"/>
        <v>0.3769974722200311</v>
      </c>
      <c r="M83" s="6">
        <f t="shared" si="22"/>
        <v>274.04379212089441</v>
      </c>
      <c r="N83" s="6">
        <f t="shared" si="23"/>
        <v>312.45799717722059</v>
      </c>
      <c r="O83" s="6">
        <f t="shared" si="24"/>
        <v>4.1150684931506847</v>
      </c>
      <c r="P83" s="6">
        <f t="shared" si="25"/>
        <v>94.646575342465752</v>
      </c>
      <c r="Q83" t="str">
        <f t="shared" si="26"/>
        <v>A</v>
      </c>
      <c r="R83" s="6">
        <f t="shared" si="27"/>
        <v>137.0218960604472</v>
      </c>
      <c r="S83" s="6">
        <f t="shared" si="28"/>
        <v>10.961751684835779</v>
      </c>
      <c r="T83" s="6">
        <f t="shared" si="29"/>
        <v>274.04379212089447</v>
      </c>
      <c r="U83" s="6">
        <f t="shared" si="30"/>
        <v>68.510948030223602</v>
      </c>
      <c r="V83" s="6">
        <f t="shared" si="31"/>
        <v>342.55474015111804</v>
      </c>
      <c r="W83">
        <v>99</v>
      </c>
      <c r="X83" t="str">
        <f t="shared" si="32"/>
        <v>OK</v>
      </c>
      <c r="Y83" s="6">
        <f t="shared" si="33"/>
        <v>28</v>
      </c>
      <c r="Z83" s="6">
        <f t="shared" si="34"/>
        <v>112</v>
      </c>
    </row>
    <row r="84" spans="1:26" x14ac:dyDescent="0.3">
      <c r="A84" s="3" t="str">
        <f t="shared" si="18"/>
        <v>SKU083</v>
      </c>
      <c r="B84" s="3">
        <v>1129</v>
      </c>
      <c r="C84" s="3">
        <f t="shared" si="20"/>
        <v>1467.7</v>
      </c>
      <c r="D84" s="3">
        <v>93.35</v>
      </c>
      <c r="E84" s="3">
        <v>10</v>
      </c>
      <c r="F84" s="3" t="str" cm="1">
        <f t="array" aca="1" ref="F84" ca="1">INDEX({"Electronics","Clothing","Food","Furniture"}, RANDBETWEEN(1,4))</f>
        <v>Food</v>
      </c>
      <c r="G84" s="3">
        <v>50</v>
      </c>
      <c r="H84" s="3">
        <v>2</v>
      </c>
      <c r="I84" s="3">
        <f t="shared" si="19"/>
        <v>105392.15</v>
      </c>
      <c r="J84" s="3">
        <f t="shared" si="35"/>
        <v>11092608.060000002</v>
      </c>
      <c r="K84" s="4">
        <f t="shared" si="21"/>
        <v>0.380613727190107</v>
      </c>
      <c r="M84" s="6">
        <f t="shared" si="22"/>
        <v>237.59208741033444</v>
      </c>
      <c r="N84" s="6">
        <f t="shared" si="23"/>
        <v>270.89665926326961</v>
      </c>
      <c r="O84" s="6">
        <f t="shared" si="24"/>
        <v>3.0931506849315067</v>
      </c>
      <c r="P84" s="6">
        <f t="shared" si="25"/>
        <v>30.931506849315067</v>
      </c>
      <c r="Q84" t="str">
        <f t="shared" si="26"/>
        <v>A</v>
      </c>
      <c r="R84" s="6">
        <f t="shared" si="27"/>
        <v>118.79604370516722</v>
      </c>
      <c r="S84" s="6">
        <f t="shared" si="28"/>
        <v>9.5036834964133767</v>
      </c>
      <c r="T84" s="6">
        <f t="shared" si="29"/>
        <v>237.59208741033441</v>
      </c>
      <c r="U84" s="6">
        <f t="shared" si="30"/>
        <v>59.398021852583611</v>
      </c>
      <c r="V84" s="6">
        <f t="shared" si="31"/>
        <v>296.99010926291805</v>
      </c>
      <c r="W84">
        <v>5</v>
      </c>
      <c r="X84" t="str">
        <f t="shared" si="32"/>
        <v>ALERT</v>
      </c>
      <c r="Y84" s="6">
        <f t="shared" si="33"/>
        <v>15</v>
      </c>
      <c r="Z84" s="6">
        <f t="shared" si="34"/>
        <v>45</v>
      </c>
    </row>
    <row r="85" spans="1:26" x14ac:dyDescent="0.3">
      <c r="A85" s="3" t="str">
        <f t="shared" si="18"/>
        <v>SKU084</v>
      </c>
      <c r="B85" s="3">
        <v>1492</v>
      </c>
      <c r="C85" s="3">
        <f t="shared" si="20"/>
        <v>1939.6000000000001</v>
      </c>
      <c r="D85" s="3">
        <v>70.489999999999995</v>
      </c>
      <c r="E85" s="3">
        <v>26</v>
      </c>
      <c r="F85" s="3" t="str" cm="1">
        <f t="array" aca="1" ref="F85" ca="1">INDEX({"Electronics","Clothing","Food","Furniture"}, RANDBETWEEN(1,4))</f>
        <v>Electronics</v>
      </c>
      <c r="G85" s="3">
        <v>50</v>
      </c>
      <c r="H85" s="3">
        <v>2</v>
      </c>
      <c r="I85" s="3">
        <f t="shared" si="19"/>
        <v>105171.07999999999</v>
      </c>
      <c r="J85" s="3">
        <f t="shared" si="35"/>
        <v>11197779.140000002</v>
      </c>
      <c r="K85" s="4">
        <f t="shared" si="21"/>
        <v>0.38422239672344743</v>
      </c>
      <c r="M85" s="6">
        <f t="shared" si="22"/>
        <v>273.13000567495328</v>
      </c>
      <c r="N85" s="6">
        <f t="shared" si="23"/>
        <v>311.41612032776982</v>
      </c>
      <c r="O85" s="6">
        <f t="shared" si="24"/>
        <v>4.087671232876712</v>
      </c>
      <c r="P85" s="6">
        <f t="shared" si="25"/>
        <v>106.27945205479452</v>
      </c>
      <c r="Q85" t="str">
        <f t="shared" si="26"/>
        <v>A</v>
      </c>
      <c r="R85" s="6">
        <f t="shared" si="27"/>
        <v>136.56500283747664</v>
      </c>
      <c r="S85" s="6">
        <f t="shared" si="28"/>
        <v>10.925200226998129</v>
      </c>
      <c r="T85" s="6">
        <f t="shared" si="29"/>
        <v>273.13000567495322</v>
      </c>
      <c r="U85" s="6">
        <f t="shared" si="30"/>
        <v>68.28250141873832</v>
      </c>
      <c r="V85" s="6">
        <f t="shared" si="31"/>
        <v>341.41250709369154</v>
      </c>
      <c r="W85">
        <v>130</v>
      </c>
      <c r="X85" t="str">
        <f t="shared" si="32"/>
        <v>OK</v>
      </c>
      <c r="Y85" s="6">
        <f t="shared" si="33"/>
        <v>31</v>
      </c>
      <c r="Z85" s="6">
        <f t="shared" si="34"/>
        <v>124</v>
      </c>
    </row>
    <row r="86" spans="1:26" x14ac:dyDescent="0.3">
      <c r="A86" s="3" t="str">
        <f t="shared" si="18"/>
        <v>SKU085</v>
      </c>
      <c r="B86" s="3">
        <v>1768</v>
      </c>
      <c r="C86" s="3">
        <f t="shared" si="20"/>
        <v>2298.4</v>
      </c>
      <c r="D86" s="3">
        <v>59.39</v>
      </c>
      <c r="E86" s="3">
        <v>20</v>
      </c>
      <c r="F86" s="3" t="str" cm="1">
        <f t="array" aca="1" ref="F86" ca="1">INDEX({"Electronics","Clothing","Food","Furniture"}, RANDBETWEEN(1,4))</f>
        <v>Electronics</v>
      </c>
      <c r="G86" s="3">
        <v>50</v>
      </c>
      <c r="H86" s="3">
        <v>2</v>
      </c>
      <c r="I86" s="3">
        <f t="shared" si="19"/>
        <v>105001.52</v>
      </c>
      <c r="J86" s="3">
        <f t="shared" si="35"/>
        <v>11302780.660000002</v>
      </c>
      <c r="K86" s="4">
        <f t="shared" si="21"/>
        <v>0.38782524825048736</v>
      </c>
      <c r="M86" s="6">
        <f t="shared" si="22"/>
        <v>297.3213749463701</v>
      </c>
      <c r="N86" s="6">
        <f t="shared" si="23"/>
        <v>338.99852507053771</v>
      </c>
      <c r="O86" s="6">
        <f t="shared" si="24"/>
        <v>4.8438356164383558</v>
      </c>
      <c r="P86" s="6">
        <f t="shared" si="25"/>
        <v>96.876712328767113</v>
      </c>
      <c r="Q86" t="str">
        <f t="shared" si="26"/>
        <v>A</v>
      </c>
      <c r="R86" s="6">
        <f t="shared" si="27"/>
        <v>148.66068747318505</v>
      </c>
      <c r="S86" s="6">
        <f t="shared" si="28"/>
        <v>11.892854997854805</v>
      </c>
      <c r="T86" s="6">
        <f t="shared" si="29"/>
        <v>297.3213749463701</v>
      </c>
      <c r="U86" s="6">
        <f t="shared" si="30"/>
        <v>74.330343736592525</v>
      </c>
      <c r="V86" s="6">
        <f t="shared" si="31"/>
        <v>371.65171868296261</v>
      </c>
      <c r="W86">
        <v>129</v>
      </c>
      <c r="X86" t="str">
        <f t="shared" si="32"/>
        <v>OK</v>
      </c>
      <c r="Y86" s="6">
        <f t="shared" si="33"/>
        <v>25</v>
      </c>
      <c r="Z86" s="6">
        <f t="shared" si="34"/>
        <v>125</v>
      </c>
    </row>
    <row r="87" spans="1:26" x14ac:dyDescent="0.3">
      <c r="A87" s="3" t="str">
        <f t="shared" si="18"/>
        <v>SKU086</v>
      </c>
      <c r="B87" s="3">
        <v>1874</v>
      </c>
      <c r="C87" s="3">
        <f t="shared" si="20"/>
        <v>2436.2000000000003</v>
      </c>
      <c r="D87" s="3">
        <v>55.78</v>
      </c>
      <c r="E87" s="3">
        <v>16</v>
      </c>
      <c r="F87" s="3" t="str" cm="1">
        <f t="array" aca="1" ref="F87" ca="1">INDEX({"Electronics","Clothing","Food","Furniture"}, RANDBETWEEN(1,4))</f>
        <v>Food</v>
      </c>
      <c r="G87" s="3">
        <v>50</v>
      </c>
      <c r="H87" s="3">
        <v>2</v>
      </c>
      <c r="I87" s="3">
        <f t="shared" si="19"/>
        <v>104531.72</v>
      </c>
      <c r="J87" s="3">
        <f t="shared" si="35"/>
        <v>11407312.380000003</v>
      </c>
      <c r="K87" s="4">
        <f t="shared" si="21"/>
        <v>0.39141197982376474</v>
      </c>
      <c r="M87" s="6">
        <f t="shared" si="22"/>
        <v>306.10455730027934</v>
      </c>
      <c r="N87" s="6">
        <f t="shared" si="23"/>
        <v>349.01289374462948</v>
      </c>
      <c r="O87" s="6">
        <f t="shared" si="24"/>
        <v>5.1342465753424653</v>
      </c>
      <c r="P87" s="6">
        <f t="shared" si="25"/>
        <v>82.147945205479445</v>
      </c>
      <c r="Q87" t="str">
        <f t="shared" si="26"/>
        <v>A</v>
      </c>
      <c r="R87" s="6">
        <f t="shared" si="27"/>
        <v>153.05227865013967</v>
      </c>
      <c r="S87" s="6">
        <f t="shared" si="28"/>
        <v>12.244182292011175</v>
      </c>
      <c r="T87" s="6">
        <f t="shared" si="29"/>
        <v>306.10455730027934</v>
      </c>
      <c r="U87" s="6">
        <f t="shared" si="30"/>
        <v>76.526139325069835</v>
      </c>
      <c r="V87" s="6">
        <f t="shared" si="31"/>
        <v>382.63069662534917</v>
      </c>
      <c r="W87">
        <v>132</v>
      </c>
      <c r="X87" t="str">
        <f t="shared" si="32"/>
        <v>OK</v>
      </c>
      <c r="Y87" s="6">
        <f t="shared" si="33"/>
        <v>21</v>
      </c>
      <c r="Z87" s="6">
        <f t="shared" si="34"/>
        <v>105</v>
      </c>
    </row>
    <row r="88" spans="1:26" x14ac:dyDescent="0.3">
      <c r="A88" s="3" t="str">
        <f t="shared" si="18"/>
        <v>SKU087</v>
      </c>
      <c r="B88" s="3">
        <v>1899</v>
      </c>
      <c r="C88" s="3">
        <f t="shared" si="20"/>
        <v>2468.7000000000003</v>
      </c>
      <c r="D88" s="3">
        <v>54.78</v>
      </c>
      <c r="E88" s="3">
        <v>17</v>
      </c>
      <c r="F88" s="3" t="str" cm="1">
        <f t="array" aca="1" ref="F88" ca="1">INDEX({"Electronics","Clothing","Food","Furniture"}, RANDBETWEEN(1,4))</f>
        <v>Food</v>
      </c>
      <c r="G88" s="3">
        <v>50</v>
      </c>
      <c r="H88" s="3">
        <v>2</v>
      </c>
      <c r="I88" s="3">
        <f t="shared" si="19"/>
        <v>104027.22</v>
      </c>
      <c r="J88" s="3">
        <f t="shared" si="35"/>
        <v>11511339.600000003</v>
      </c>
      <c r="K88" s="4">
        <f t="shared" si="21"/>
        <v>0.3949814008038679</v>
      </c>
      <c r="M88" s="6">
        <f t="shared" si="22"/>
        <v>308.13957876261208</v>
      </c>
      <c r="N88" s="6">
        <f t="shared" si="23"/>
        <v>351.33317520553055</v>
      </c>
      <c r="O88" s="6">
        <f t="shared" si="24"/>
        <v>5.2027397260273975</v>
      </c>
      <c r="P88" s="6">
        <f t="shared" si="25"/>
        <v>88.446575342465763</v>
      </c>
      <c r="Q88" t="str">
        <f t="shared" si="26"/>
        <v>A</v>
      </c>
      <c r="R88" s="6">
        <f t="shared" si="27"/>
        <v>154.06978938130604</v>
      </c>
      <c r="S88" s="6">
        <f t="shared" si="28"/>
        <v>12.325583150504482</v>
      </c>
      <c r="T88" s="6">
        <f t="shared" si="29"/>
        <v>308.13957876261202</v>
      </c>
      <c r="U88" s="6">
        <f t="shared" si="30"/>
        <v>77.034894690653019</v>
      </c>
      <c r="V88" s="6">
        <f t="shared" si="31"/>
        <v>385.17447345326502</v>
      </c>
      <c r="W88">
        <v>116</v>
      </c>
      <c r="X88" t="str">
        <f t="shared" si="32"/>
        <v>OK</v>
      </c>
      <c r="Y88" s="6">
        <f t="shared" si="33"/>
        <v>22</v>
      </c>
      <c r="Z88" s="6">
        <f t="shared" si="34"/>
        <v>110</v>
      </c>
    </row>
    <row r="89" spans="1:26" x14ac:dyDescent="0.3">
      <c r="A89" s="3" t="str">
        <f t="shared" si="18"/>
        <v>SKU088</v>
      </c>
      <c r="B89" s="3">
        <v>1901</v>
      </c>
      <c r="C89" s="3">
        <f t="shared" si="20"/>
        <v>2471.3000000000002</v>
      </c>
      <c r="D89" s="3">
        <v>54.46</v>
      </c>
      <c r="E89" s="3">
        <v>11</v>
      </c>
      <c r="F89" s="3" t="str" cm="1">
        <f t="array" aca="1" ref="F89" ca="1">INDEX({"Electronics","Clothing","Food","Furniture"}, RANDBETWEEN(1,4))</f>
        <v>Food</v>
      </c>
      <c r="G89" s="3">
        <v>50</v>
      </c>
      <c r="H89" s="3">
        <v>2</v>
      </c>
      <c r="I89" s="3">
        <f t="shared" si="19"/>
        <v>103528.46</v>
      </c>
      <c r="J89" s="3">
        <f t="shared" si="35"/>
        <v>11614868.060000004</v>
      </c>
      <c r="K89" s="4">
        <f t="shared" si="21"/>
        <v>0.39853370814382921</v>
      </c>
      <c r="M89" s="6">
        <f t="shared" si="22"/>
        <v>308.30180018935988</v>
      </c>
      <c r="N89" s="6">
        <f t="shared" si="23"/>
        <v>351.51813608973293</v>
      </c>
      <c r="O89" s="6">
        <f t="shared" si="24"/>
        <v>5.2082191780821914</v>
      </c>
      <c r="P89" s="6">
        <f t="shared" si="25"/>
        <v>57.290410958904104</v>
      </c>
      <c r="Q89" t="str">
        <f t="shared" si="26"/>
        <v>A</v>
      </c>
      <c r="R89" s="6">
        <f t="shared" si="27"/>
        <v>154.15090009467994</v>
      </c>
      <c r="S89" s="6">
        <f t="shared" si="28"/>
        <v>12.332072007574398</v>
      </c>
      <c r="T89" s="6">
        <f t="shared" si="29"/>
        <v>308.30180018935994</v>
      </c>
      <c r="U89" s="6">
        <f t="shared" si="30"/>
        <v>77.07545004733997</v>
      </c>
      <c r="V89" s="6">
        <f t="shared" si="31"/>
        <v>385.37725023669992</v>
      </c>
      <c r="W89">
        <v>89</v>
      </c>
      <c r="X89" t="str">
        <f t="shared" si="32"/>
        <v>OK</v>
      </c>
      <c r="Y89" s="6">
        <f t="shared" si="33"/>
        <v>16</v>
      </c>
      <c r="Z89" s="6">
        <f t="shared" si="34"/>
        <v>80</v>
      </c>
    </row>
    <row r="90" spans="1:26" x14ac:dyDescent="0.3">
      <c r="A90" s="3" t="str">
        <f t="shared" si="18"/>
        <v>SKU089</v>
      </c>
      <c r="B90" s="3">
        <v>1458</v>
      </c>
      <c r="C90" s="3">
        <f t="shared" si="20"/>
        <v>1895.4</v>
      </c>
      <c r="D90" s="3">
        <v>71</v>
      </c>
      <c r="E90" s="3">
        <v>28</v>
      </c>
      <c r="F90" s="3" t="str" cm="1">
        <f t="array" aca="1" ref="F90" ca="1">INDEX({"Electronics","Clothing","Food","Furniture"}, RANDBETWEEN(1,4))</f>
        <v>Food</v>
      </c>
      <c r="G90" s="3">
        <v>50</v>
      </c>
      <c r="H90" s="3">
        <v>2</v>
      </c>
      <c r="I90" s="3">
        <f t="shared" si="19"/>
        <v>103518</v>
      </c>
      <c r="J90" s="3">
        <f t="shared" si="35"/>
        <v>11718386.060000004</v>
      </c>
      <c r="K90" s="4">
        <f t="shared" si="21"/>
        <v>0.40208565657634832</v>
      </c>
      <c r="M90" s="6">
        <f t="shared" si="22"/>
        <v>270</v>
      </c>
      <c r="N90" s="6">
        <f t="shared" si="23"/>
        <v>307.84736477676728</v>
      </c>
      <c r="O90" s="6">
        <f t="shared" si="24"/>
        <v>3.9945205479452053</v>
      </c>
      <c r="P90" s="6">
        <f t="shared" si="25"/>
        <v>111.84657534246574</v>
      </c>
      <c r="Q90" t="str">
        <f t="shared" si="26"/>
        <v>A</v>
      </c>
      <c r="R90" s="6">
        <f t="shared" si="27"/>
        <v>135</v>
      </c>
      <c r="S90" s="6">
        <f t="shared" si="28"/>
        <v>10.8</v>
      </c>
      <c r="T90" s="6">
        <f t="shared" si="29"/>
        <v>270</v>
      </c>
      <c r="U90" s="6">
        <f t="shared" si="30"/>
        <v>67.5</v>
      </c>
      <c r="V90" s="6">
        <f t="shared" si="31"/>
        <v>337.5</v>
      </c>
      <c r="W90">
        <v>116</v>
      </c>
      <c r="X90" t="str">
        <f t="shared" si="32"/>
        <v>OK</v>
      </c>
      <c r="Y90" s="6">
        <f t="shared" si="33"/>
        <v>33</v>
      </c>
      <c r="Z90" s="6">
        <f t="shared" si="34"/>
        <v>132</v>
      </c>
    </row>
    <row r="91" spans="1:26" x14ac:dyDescent="0.3">
      <c r="A91" s="3" t="str">
        <f t="shared" si="18"/>
        <v>SKU090</v>
      </c>
      <c r="B91" s="3">
        <v>1553</v>
      </c>
      <c r="C91" s="3">
        <f t="shared" si="20"/>
        <v>2018.9</v>
      </c>
      <c r="D91" s="3">
        <v>66.430000000000007</v>
      </c>
      <c r="E91" s="3">
        <v>23</v>
      </c>
      <c r="F91" s="3" t="str" cm="1">
        <f t="array" aca="1" ref="F91" ca="1">INDEX({"Electronics","Clothing","Food","Furniture"}, RANDBETWEEN(1,4))</f>
        <v>Furniture</v>
      </c>
      <c r="G91" s="3">
        <v>50</v>
      </c>
      <c r="H91" s="3">
        <v>2</v>
      </c>
      <c r="I91" s="3">
        <f t="shared" si="19"/>
        <v>103165.79000000001</v>
      </c>
      <c r="J91" s="3">
        <f t="shared" si="35"/>
        <v>11821551.850000003</v>
      </c>
      <c r="K91" s="4">
        <f t="shared" si="21"/>
        <v>0.4056255198472779</v>
      </c>
      <c r="M91" s="6">
        <f t="shared" si="22"/>
        <v>278.65749586185547</v>
      </c>
      <c r="N91" s="6">
        <f t="shared" si="23"/>
        <v>317.71842880135233</v>
      </c>
      <c r="O91" s="6">
        <f t="shared" si="24"/>
        <v>4.2547945205479456</v>
      </c>
      <c r="P91" s="6">
        <f t="shared" si="25"/>
        <v>97.860273972602755</v>
      </c>
      <c r="Q91" t="str">
        <f t="shared" si="26"/>
        <v>A</v>
      </c>
      <c r="R91" s="6">
        <f t="shared" si="27"/>
        <v>139.32874793092773</v>
      </c>
      <c r="S91" s="6">
        <f t="shared" si="28"/>
        <v>11.146299834474219</v>
      </c>
      <c r="T91" s="6">
        <f t="shared" si="29"/>
        <v>278.65749586185547</v>
      </c>
      <c r="U91" s="6">
        <f t="shared" si="30"/>
        <v>69.664373965463867</v>
      </c>
      <c r="V91" s="6">
        <f t="shared" si="31"/>
        <v>348.32186982731935</v>
      </c>
      <c r="W91">
        <v>80</v>
      </c>
      <c r="X91" t="str">
        <f t="shared" si="32"/>
        <v>ALERT</v>
      </c>
      <c r="Y91" s="6">
        <f t="shared" si="33"/>
        <v>28</v>
      </c>
      <c r="Z91" s="6">
        <f t="shared" si="34"/>
        <v>112</v>
      </c>
    </row>
    <row r="92" spans="1:26" x14ac:dyDescent="0.3">
      <c r="A92" s="3" t="str">
        <f t="shared" si="18"/>
        <v>SKU091</v>
      </c>
      <c r="B92" s="3">
        <v>1537</v>
      </c>
      <c r="C92" s="3">
        <f t="shared" si="20"/>
        <v>1998.1000000000001</v>
      </c>
      <c r="D92" s="3">
        <v>66.930000000000007</v>
      </c>
      <c r="E92" s="3">
        <v>5</v>
      </c>
      <c r="F92" s="3" t="str" cm="1">
        <f t="array" aca="1" ref="F92" ca="1">INDEX({"Electronics","Clothing","Food","Furniture"}, RANDBETWEEN(1,4))</f>
        <v>Furniture</v>
      </c>
      <c r="G92" s="3">
        <v>50</v>
      </c>
      <c r="H92" s="3">
        <v>2</v>
      </c>
      <c r="I92" s="3">
        <f t="shared" si="19"/>
        <v>102871.41</v>
      </c>
      <c r="J92" s="3">
        <f t="shared" si="35"/>
        <v>11924423.260000004</v>
      </c>
      <c r="K92" s="4">
        <f t="shared" si="21"/>
        <v>0.4091552822412628</v>
      </c>
      <c r="M92" s="6">
        <f t="shared" si="22"/>
        <v>277.21832551258223</v>
      </c>
      <c r="N92" s="6">
        <f t="shared" si="23"/>
        <v>316.07752213657966</v>
      </c>
      <c r="O92" s="6">
        <f t="shared" si="24"/>
        <v>4.2109589041095887</v>
      </c>
      <c r="P92" s="6">
        <f t="shared" si="25"/>
        <v>21.054794520547944</v>
      </c>
      <c r="Q92" t="str">
        <f t="shared" si="26"/>
        <v>A</v>
      </c>
      <c r="R92" s="6">
        <f t="shared" si="27"/>
        <v>138.60916275629111</v>
      </c>
      <c r="S92" s="6">
        <f t="shared" si="28"/>
        <v>11.088733020503289</v>
      </c>
      <c r="T92" s="6">
        <f t="shared" si="29"/>
        <v>277.21832551258223</v>
      </c>
      <c r="U92" s="6">
        <f t="shared" si="30"/>
        <v>69.304581378145556</v>
      </c>
      <c r="V92" s="6">
        <f t="shared" si="31"/>
        <v>346.52290689072777</v>
      </c>
      <c r="W92">
        <v>25</v>
      </c>
      <c r="X92" t="str">
        <f t="shared" si="32"/>
        <v>OK</v>
      </c>
      <c r="Y92" s="6">
        <f t="shared" si="33"/>
        <v>10</v>
      </c>
      <c r="Z92" s="6">
        <f t="shared" si="34"/>
        <v>40</v>
      </c>
    </row>
    <row r="93" spans="1:26" x14ac:dyDescent="0.3">
      <c r="A93" s="3" t="str">
        <f t="shared" si="18"/>
        <v>SKU092</v>
      </c>
      <c r="B93" s="3">
        <v>1625</v>
      </c>
      <c r="C93" s="3">
        <f t="shared" si="20"/>
        <v>2112.5</v>
      </c>
      <c r="D93" s="3">
        <v>63.23</v>
      </c>
      <c r="E93" s="3">
        <v>27</v>
      </c>
      <c r="F93" s="3" t="str" cm="1">
        <f t="array" aca="1" ref="F93" ca="1">INDEX({"Electronics","Clothing","Food","Furniture"}, RANDBETWEEN(1,4))</f>
        <v>Furniture</v>
      </c>
      <c r="G93" s="3">
        <v>50</v>
      </c>
      <c r="H93" s="3">
        <v>2</v>
      </c>
      <c r="I93" s="3">
        <f t="shared" si="19"/>
        <v>102748.75</v>
      </c>
      <c r="J93" s="3">
        <f t="shared" si="35"/>
        <v>12027172.010000004</v>
      </c>
      <c r="K93" s="4">
        <f t="shared" si="21"/>
        <v>0.41268083587933341</v>
      </c>
      <c r="M93" s="6">
        <f t="shared" si="22"/>
        <v>285.0438562747845</v>
      </c>
      <c r="N93" s="6">
        <f t="shared" si="23"/>
        <v>325</v>
      </c>
      <c r="O93" s="6">
        <f t="shared" si="24"/>
        <v>4.4520547945205475</v>
      </c>
      <c r="P93" s="6">
        <f t="shared" si="25"/>
        <v>120.20547945205479</v>
      </c>
      <c r="Q93" t="str">
        <f t="shared" si="26"/>
        <v>A</v>
      </c>
      <c r="R93" s="6">
        <f t="shared" si="27"/>
        <v>142.52192813739225</v>
      </c>
      <c r="S93" s="6">
        <f t="shared" si="28"/>
        <v>11.401754250991379</v>
      </c>
      <c r="T93" s="6">
        <f t="shared" si="29"/>
        <v>285.0438562747845</v>
      </c>
      <c r="U93" s="6">
        <f t="shared" si="30"/>
        <v>71.260964068696126</v>
      </c>
      <c r="V93" s="6">
        <f t="shared" si="31"/>
        <v>356.30482034348063</v>
      </c>
      <c r="W93">
        <v>130</v>
      </c>
      <c r="X93" t="str">
        <f t="shared" si="32"/>
        <v>OK</v>
      </c>
      <c r="Y93" s="6">
        <f t="shared" si="33"/>
        <v>32</v>
      </c>
      <c r="Z93" s="6">
        <f t="shared" si="34"/>
        <v>128</v>
      </c>
    </row>
    <row r="94" spans="1:26" x14ac:dyDescent="0.3">
      <c r="A94" s="3" t="str">
        <f t="shared" si="18"/>
        <v>SKU093</v>
      </c>
      <c r="B94" s="3">
        <v>1630</v>
      </c>
      <c r="C94" s="3">
        <f t="shared" si="20"/>
        <v>2119</v>
      </c>
      <c r="D94" s="3">
        <v>62.57</v>
      </c>
      <c r="E94" s="3">
        <v>6</v>
      </c>
      <c r="F94" s="3" t="str" cm="1">
        <f t="array" aca="1" ref="F94" ca="1">INDEX({"Electronics","Clothing","Food","Furniture"}, RANDBETWEEN(1,4))</f>
        <v>Clothing</v>
      </c>
      <c r="G94" s="3">
        <v>50</v>
      </c>
      <c r="H94" s="3">
        <v>2</v>
      </c>
      <c r="I94" s="3">
        <f t="shared" si="19"/>
        <v>101989.1</v>
      </c>
      <c r="J94" s="3">
        <f t="shared" si="35"/>
        <v>12129161.110000003</v>
      </c>
      <c r="K94" s="4">
        <f t="shared" si="21"/>
        <v>0.41618032412175532</v>
      </c>
      <c r="M94" s="6">
        <f t="shared" si="22"/>
        <v>285.48204847240396</v>
      </c>
      <c r="N94" s="6">
        <f t="shared" si="23"/>
        <v>325.49961597519587</v>
      </c>
      <c r="O94" s="6">
        <f t="shared" si="24"/>
        <v>4.4657534246575343</v>
      </c>
      <c r="P94" s="6">
        <f t="shared" si="25"/>
        <v>26.794520547945204</v>
      </c>
      <c r="Q94" t="str">
        <f t="shared" si="26"/>
        <v>A</v>
      </c>
      <c r="R94" s="6">
        <f t="shared" si="27"/>
        <v>142.74102423620198</v>
      </c>
      <c r="S94" s="6">
        <f t="shared" si="28"/>
        <v>11.419281938896157</v>
      </c>
      <c r="T94" s="6">
        <f t="shared" si="29"/>
        <v>285.4820484724039</v>
      </c>
      <c r="U94" s="6">
        <f t="shared" si="30"/>
        <v>71.37051211810099</v>
      </c>
      <c r="V94" s="6">
        <f t="shared" si="31"/>
        <v>356.85256059050488</v>
      </c>
      <c r="W94">
        <v>73</v>
      </c>
      <c r="X94" t="str">
        <f t="shared" si="32"/>
        <v>OK</v>
      </c>
      <c r="Y94" s="6">
        <f t="shared" si="33"/>
        <v>11</v>
      </c>
      <c r="Z94" s="6">
        <f t="shared" si="34"/>
        <v>44</v>
      </c>
    </row>
    <row r="95" spans="1:26" x14ac:dyDescent="0.3">
      <c r="A95" s="3" t="str">
        <f t="shared" si="18"/>
        <v>SKU094</v>
      </c>
      <c r="B95" s="3">
        <v>1089</v>
      </c>
      <c r="C95" s="3">
        <f t="shared" si="20"/>
        <v>1415.7</v>
      </c>
      <c r="D95" s="3">
        <v>92.2</v>
      </c>
      <c r="E95" s="3">
        <v>27</v>
      </c>
      <c r="F95" s="3" t="str" cm="1">
        <f t="array" aca="1" ref="F95" ca="1">INDEX({"Electronics","Clothing","Food","Furniture"}, RANDBETWEEN(1,4))</f>
        <v>Furniture</v>
      </c>
      <c r="G95" s="3">
        <v>50</v>
      </c>
      <c r="H95" s="3">
        <v>2</v>
      </c>
      <c r="I95" s="3">
        <f t="shared" si="19"/>
        <v>100405.8</v>
      </c>
      <c r="J95" s="3">
        <f t="shared" si="35"/>
        <v>12229566.910000004</v>
      </c>
      <c r="K95" s="4">
        <f t="shared" si="21"/>
        <v>0.41962548558088153</v>
      </c>
      <c r="M95" s="6">
        <f t="shared" si="22"/>
        <v>233.34523779156069</v>
      </c>
      <c r="N95" s="6">
        <f t="shared" si="23"/>
        <v>266.05450569385215</v>
      </c>
      <c r="O95" s="6">
        <f t="shared" si="24"/>
        <v>2.9835616438356163</v>
      </c>
      <c r="P95" s="6">
        <f t="shared" si="25"/>
        <v>80.556164383561637</v>
      </c>
      <c r="Q95" t="str">
        <f t="shared" si="26"/>
        <v>A</v>
      </c>
      <c r="R95" s="6">
        <f t="shared" si="27"/>
        <v>116.67261889578035</v>
      </c>
      <c r="S95" s="6">
        <f t="shared" si="28"/>
        <v>9.3338095116624267</v>
      </c>
      <c r="T95" s="6">
        <f t="shared" si="29"/>
        <v>233.34523779156066</v>
      </c>
      <c r="U95" s="6">
        <f t="shared" si="30"/>
        <v>58.336309447890173</v>
      </c>
      <c r="V95" s="6">
        <f t="shared" si="31"/>
        <v>291.68154723945082</v>
      </c>
      <c r="W95">
        <v>25</v>
      </c>
      <c r="X95" t="str">
        <f t="shared" si="32"/>
        <v>ALERT</v>
      </c>
      <c r="Y95" s="6">
        <f t="shared" si="33"/>
        <v>32</v>
      </c>
      <c r="Z95" s="6">
        <f t="shared" si="34"/>
        <v>96</v>
      </c>
    </row>
    <row r="96" spans="1:26" x14ac:dyDescent="0.3">
      <c r="A96" s="3" t="str">
        <f t="shared" si="18"/>
        <v>SKU095</v>
      </c>
      <c r="B96" s="3">
        <v>1129</v>
      </c>
      <c r="C96" s="3">
        <f t="shared" si="20"/>
        <v>1467.7</v>
      </c>
      <c r="D96" s="3">
        <v>88.76</v>
      </c>
      <c r="E96" s="3">
        <v>27</v>
      </c>
      <c r="F96" s="3" t="str" cm="1">
        <f t="array" aca="1" ref="F96" ca="1">INDEX({"Electronics","Clothing","Food","Furniture"}, RANDBETWEEN(1,4))</f>
        <v>Electronics</v>
      </c>
      <c r="G96" s="3">
        <v>50</v>
      </c>
      <c r="H96" s="3">
        <v>2</v>
      </c>
      <c r="I96" s="3">
        <f t="shared" si="19"/>
        <v>100210.04000000001</v>
      </c>
      <c r="J96" s="3">
        <f t="shared" si="35"/>
        <v>12329776.950000003</v>
      </c>
      <c r="K96" s="4">
        <f t="shared" si="21"/>
        <v>0.42306393004948284</v>
      </c>
      <c r="M96" s="6">
        <f t="shared" si="22"/>
        <v>237.59208741033444</v>
      </c>
      <c r="N96" s="6">
        <f t="shared" si="23"/>
        <v>270.89665926326961</v>
      </c>
      <c r="O96" s="6">
        <f t="shared" si="24"/>
        <v>3.0931506849315067</v>
      </c>
      <c r="P96" s="6">
        <f t="shared" si="25"/>
        <v>83.515068493150679</v>
      </c>
      <c r="Q96" t="str">
        <f t="shared" si="26"/>
        <v>A</v>
      </c>
      <c r="R96" s="6">
        <f t="shared" si="27"/>
        <v>118.79604370516722</v>
      </c>
      <c r="S96" s="6">
        <f t="shared" si="28"/>
        <v>9.5036834964133767</v>
      </c>
      <c r="T96" s="6">
        <f t="shared" si="29"/>
        <v>237.59208741033441</v>
      </c>
      <c r="U96" s="6">
        <f t="shared" si="30"/>
        <v>59.398021852583611</v>
      </c>
      <c r="V96" s="6">
        <f t="shared" si="31"/>
        <v>296.99010926291805</v>
      </c>
      <c r="W96">
        <v>125</v>
      </c>
      <c r="X96" t="str">
        <f t="shared" si="32"/>
        <v>OK</v>
      </c>
      <c r="Y96" s="6">
        <f t="shared" si="33"/>
        <v>32</v>
      </c>
      <c r="Z96" s="6">
        <f t="shared" si="34"/>
        <v>96</v>
      </c>
    </row>
    <row r="97" spans="1:26" x14ac:dyDescent="0.3">
      <c r="A97" s="3" t="str">
        <f t="shared" si="18"/>
        <v>SKU096</v>
      </c>
      <c r="B97" s="3">
        <v>1623</v>
      </c>
      <c r="C97" s="3">
        <f t="shared" si="20"/>
        <v>2109.9</v>
      </c>
      <c r="D97" s="3">
        <v>61.33</v>
      </c>
      <c r="E97" s="3">
        <v>4</v>
      </c>
      <c r="F97" s="3" t="str" cm="1">
        <f t="array" aca="1" ref="F97" ca="1">INDEX({"Electronics","Clothing","Food","Furniture"}, RANDBETWEEN(1,4))</f>
        <v>Food</v>
      </c>
      <c r="G97" s="3">
        <v>50</v>
      </c>
      <c r="H97" s="3">
        <v>2</v>
      </c>
      <c r="I97" s="3">
        <f t="shared" si="19"/>
        <v>99538.59</v>
      </c>
      <c r="J97" s="3">
        <f t="shared" si="35"/>
        <v>12429315.540000003</v>
      </c>
      <c r="K97" s="4">
        <f t="shared" si="21"/>
        <v>0.42647933547390815</v>
      </c>
      <c r="M97" s="6">
        <f t="shared" si="22"/>
        <v>284.86839066488227</v>
      </c>
      <c r="N97" s="6">
        <f t="shared" si="23"/>
        <v>324.7999384236395</v>
      </c>
      <c r="O97" s="6">
        <f t="shared" si="24"/>
        <v>4.4465753424657537</v>
      </c>
      <c r="P97" s="6">
        <f t="shared" si="25"/>
        <v>17.786301369863015</v>
      </c>
      <c r="Q97" t="str">
        <f t="shared" si="26"/>
        <v>A</v>
      </c>
      <c r="R97" s="6">
        <f t="shared" si="27"/>
        <v>142.43419533244113</v>
      </c>
      <c r="S97" s="6">
        <f t="shared" si="28"/>
        <v>11.394735626595294</v>
      </c>
      <c r="T97" s="6">
        <f t="shared" si="29"/>
        <v>284.86839066488233</v>
      </c>
      <c r="U97" s="6">
        <f t="shared" si="30"/>
        <v>71.217097666220567</v>
      </c>
      <c r="V97" s="6">
        <f t="shared" si="31"/>
        <v>356.08548833110291</v>
      </c>
      <c r="W97">
        <v>0</v>
      </c>
      <c r="X97" t="str">
        <f t="shared" si="32"/>
        <v>ALERT</v>
      </c>
      <c r="Y97" s="6">
        <f t="shared" si="33"/>
        <v>9</v>
      </c>
      <c r="Z97" s="6">
        <f t="shared" si="34"/>
        <v>36</v>
      </c>
    </row>
    <row r="98" spans="1:26" x14ac:dyDescent="0.3">
      <c r="A98" s="3" t="str">
        <f t="shared" si="18"/>
        <v>SKU097</v>
      </c>
      <c r="B98" s="3">
        <v>1501</v>
      </c>
      <c r="C98" s="3">
        <f t="shared" si="20"/>
        <v>1951.3</v>
      </c>
      <c r="D98" s="3">
        <v>65.989999999999995</v>
      </c>
      <c r="E98" s="3">
        <v>22</v>
      </c>
      <c r="F98" s="3" t="str" cm="1">
        <f t="array" aca="1" ref="F98" ca="1">INDEX({"Electronics","Clothing","Food","Furniture"}, RANDBETWEEN(1,4))</f>
        <v>Clothing</v>
      </c>
      <c r="G98" s="3">
        <v>50</v>
      </c>
      <c r="H98" s="3">
        <v>2</v>
      </c>
      <c r="I98" s="3">
        <f t="shared" si="19"/>
        <v>99050.989999999991</v>
      </c>
      <c r="J98" s="3">
        <f t="shared" si="35"/>
        <v>12528366.530000003</v>
      </c>
      <c r="K98" s="4">
        <f t="shared" si="21"/>
        <v>0.42987801018429633</v>
      </c>
      <c r="M98" s="6">
        <f t="shared" si="22"/>
        <v>273.95255063605447</v>
      </c>
      <c r="N98" s="6">
        <f t="shared" si="23"/>
        <v>312.35396587845656</v>
      </c>
      <c r="O98" s="6">
        <f t="shared" si="24"/>
        <v>4.1123287671232873</v>
      </c>
      <c r="P98" s="6">
        <f t="shared" si="25"/>
        <v>90.471232876712321</v>
      </c>
      <c r="Q98" t="str">
        <f t="shared" si="26"/>
        <v>A</v>
      </c>
      <c r="R98" s="6">
        <f t="shared" si="27"/>
        <v>136.97627531802723</v>
      </c>
      <c r="S98" s="6">
        <f t="shared" si="28"/>
        <v>10.95810202544218</v>
      </c>
      <c r="T98" s="6">
        <f t="shared" si="29"/>
        <v>273.95255063605453</v>
      </c>
      <c r="U98" s="6">
        <f t="shared" si="30"/>
        <v>68.488137659013617</v>
      </c>
      <c r="V98" s="6">
        <f t="shared" si="31"/>
        <v>342.44068829506813</v>
      </c>
      <c r="W98">
        <v>134</v>
      </c>
      <c r="X98" t="str">
        <f t="shared" si="32"/>
        <v>OK</v>
      </c>
      <c r="Y98" s="6">
        <f t="shared" si="33"/>
        <v>27</v>
      </c>
      <c r="Z98" s="6">
        <f t="shared" si="34"/>
        <v>108</v>
      </c>
    </row>
    <row r="99" spans="1:26" x14ac:dyDescent="0.3">
      <c r="A99" s="3" t="str">
        <f t="shared" si="18"/>
        <v>SKU098</v>
      </c>
      <c r="B99" s="3">
        <v>1515</v>
      </c>
      <c r="C99" s="3">
        <f t="shared" si="20"/>
        <v>1969.5</v>
      </c>
      <c r="D99" s="3">
        <v>64.73</v>
      </c>
      <c r="E99" s="3">
        <v>18</v>
      </c>
      <c r="F99" s="3" t="str" cm="1">
        <f t="array" aca="1" ref="F99" ca="1">INDEX({"Electronics","Clothing","Food","Furniture"}, RANDBETWEEN(1,4))</f>
        <v>Electronics</v>
      </c>
      <c r="G99" s="3">
        <v>50</v>
      </c>
      <c r="H99" s="3">
        <v>2</v>
      </c>
      <c r="I99" s="3">
        <f t="shared" si="19"/>
        <v>98065.950000000012</v>
      </c>
      <c r="J99" s="3">
        <f t="shared" si="35"/>
        <v>12626432.480000002</v>
      </c>
      <c r="K99" s="4">
        <f t="shared" si="21"/>
        <v>0.43324288583284043</v>
      </c>
      <c r="M99" s="6">
        <f t="shared" si="22"/>
        <v>275.22717889045771</v>
      </c>
      <c r="N99" s="6">
        <f t="shared" si="23"/>
        <v>313.8072656902641</v>
      </c>
      <c r="O99" s="6">
        <f t="shared" si="24"/>
        <v>4.1506849315068495</v>
      </c>
      <c r="P99" s="6">
        <f t="shared" si="25"/>
        <v>74.712328767123296</v>
      </c>
      <c r="Q99" t="str">
        <f t="shared" si="26"/>
        <v>A</v>
      </c>
      <c r="R99" s="6">
        <f t="shared" si="27"/>
        <v>137.61358944522885</v>
      </c>
      <c r="S99" s="6">
        <f t="shared" si="28"/>
        <v>11.009087155618307</v>
      </c>
      <c r="T99" s="6">
        <f t="shared" si="29"/>
        <v>275.22717889045765</v>
      </c>
      <c r="U99" s="6">
        <f t="shared" si="30"/>
        <v>68.806794722614427</v>
      </c>
      <c r="V99" s="6">
        <f t="shared" si="31"/>
        <v>344.03397361307208</v>
      </c>
      <c r="W99">
        <v>0</v>
      </c>
      <c r="X99" t="str">
        <f t="shared" si="32"/>
        <v>ALERT</v>
      </c>
      <c r="Y99" s="6">
        <f t="shared" si="33"/>
        <v>23</v>
      </c>
      <c r="Z99" s="6">
        <f t="shared" si="34"/>
        <v>92</v>
      </c>
    </row>
    <row r="100" spans="1:26" x14ac:dyDescent="0.3">
      <c r="A100" s="3" t="str">
        <f t="shared" si="18"/>
        <v>SKU099</v>
      </c>
      <c r="B100" s="3">
        <v>1128</v>
      </c>
      <c r="C100" s="3">
        <f t="shared" si="20"/>
        <v>1466.4</v>
      </c>
      <c r="D100" s="3">
        <v>86.81</v>
      </c>
      <c r="E100" s="3">
        <v>5</v>
      </c>
      <c r="F100" s="3" t="str" cm="1">
        <f t="array" aca="1" ref="F100" ca="1">INDEX({"Electronics","Clothing","Food","Furniture"}, RANDBETWEEN(1,4))</f>
        <v>Electronics</v>
      </c>
      <c r="G100" s="3">
        <v>50</v>
      </c>
      <c r="H100" s="3">
        <v>2</v>
      </c>
      <c r="I100" s="3">
        <f t="shared" si="19"/>
        <v>97921.680000000008</v>
      </c>
      <c r="J100" s="3">
        <f t="shared" si="35"/>
        <v>12724354.160000002</v>
      </c>
      <c r="K100" s="4">
        <f t="shared" si="21"/>
        <v>0.43660281123504713</v>
      </c>
      <c r="M100" s="6">
        <f t="shared" si="22"/>
        <v>237.48684174075834</v>
      </c>
      <c r="N100" s="6">
        <f t="shared" si="23"/>
        <v>270.77666073722082</v>
      </c>
      <c r="O100" s="6">
        <f t="shared" si="24"/>
        <v>3.0904109589041098</v>
      </c>
      <c r="P100" s="6">
        <f t="shared" si="25"/>
        <v>15.452054794520549</v>
      </c>
      <c r="Q100" t="str">
        <f t="shared" si="26"/>
        <v>A</v>
      </c>
      <c r="R100" s="6">
        <f t="shared" si="27"/>
        <v>118.74342087037917</v>
      </c>
      <c r="S100" s="6">
        <f t="shared" si="28"/>
        <v>9.4994736696303335</v>
      </c>
      <c r="T100" s="6">
        <f t="shared" si="29"/>
        <v>237.48684174075834</v>
      </c>
      <c r="U100" s="6">
        <f t="shared" si="30"/>
        <v>59.371710435189584</v>
      </c>
      <c r="V100" s="6">
        <f t="shared" si="31"/>
        <v>296.85855217594792</v>
      </c>
      <c r="W100">
        <v>48</v>
      </c>
      <c r="X100" t="str">
        <f t="shared" si="32"/>
        <v>OK</v>
      </c>
      <c r="Y100" s="6">
        <f t="shared" si="33"/>
        <v>10</v>
      </c>
      <c r="Z100" s="6">
        <f t="shared" si="34"/>
        <v>30</v>
      </c>
    </row>
    <row r="101" spans="1:26" x14ac:dyDescent="0.3">
      <c r="A101" s="3" t="str">
        <f t="shared" si="18"/>
        <v>SKU100</v>
      </c>
      <c r="B101" s="3">
        <v>1238</v>
      </c>
      <c r="C101" s="3">
        <f t="shared" si="20"/>
        <v>1609.4</v>
      </c>
      <c r="D101" s="3">
        <v>78.849999999999994</v>
      </c>
      <c r="E101" s="3">
        <v>29</v>
      </c>
      <c r="F101" s="3" t="str" cm="1">
        <f t="array" aca="1" ref="F101" ca="1">INDEX({"Electronics","Clothing","Food","Furniture"}, RANDBETWEEN(1,4))</f>
        <v>Clothing</v>
      </c>
      <c r="G101" s="3">
        <v>50</v>
      </c>
      <c r="H101" s="3">
        <v>2</v>
      </c>
      <c r="I101" s="3">
        <f t="shared" si="19"/>
        <v>97616.299999999988</v>
      </c>
      <c r="J101" s="3">
        <f t="shared" si="35"/>
        <v>12821970.460000003</v>
      </c>
      <c r="K101" s="4">
        <f t="shared" si="21"/>
        <v>0.43995225832418444</v>
      </c>
      <c r="M101" s="6">
        <f t="shared" si="22"/>
        <v>248.79710609249457</v>
      </c>
      <c r="N101" s="6">
        <f t="shared" si="23"/>
        <v>283.67234620244534</v>
      </c>
      <c r="O101" s="6">
        <f t="shared" si="24"/>
        <v>3.3917808219178083</v>
      </c>
      <c r="P101" s="6">
        <f t="shared" si="25"/>
        <v>98.361643835616434</v>
      </c>
      <c r="Q101" t="str">
        <f t="shared" si="26"/>
        <v>A</v>
      </c>
      <c r="R101" s="6">
        <f t="shared" si="27"/>
        <v>124.39855304624729</v>
      </c>
      <c r="S101" s="6">
        <f t="shared" si="28"/>
        <v>9.9518842436997836</v>
      </c>
      <c r="T101" s="6">
        <f t="shared" si="29"/>
        <v>248.7971060924946</v>
      </c>
      <c r="U101" s="6">
        <f t="shared" si="30"/>
        <v>62.199276523123643</v>
      </c>
      <c r="V101" s="6">
        <f t="shared" si="31"/>
        <v>310.99638261561824</v>
      </c>
      <c r="W101">
        <v>118</v>
      </c>
      <c r="X101" t="str">
        <f t="shared" si="32"/>
        <v>OK</v>
      </c>
      <c r="Y101" s="6">
        <f t="shared" si="33"/>
        <v>34</v>
      </c>
      <c r="Z101" s="6">
        <f t="shared" si="34"/>
        <v>102</v>
      </c>
    </row>
    <row r="102" spans="1:26" x14ac:dyDescent="0.3">
      <c r="A102" s="3" t="str">
        <f t="shared" si="18"/>
        <v>SKU101</v>
      </c>
      <c r="B102" s="3">
        <v>1764</v>
      </c>
      <c r="C102" s="3">
        <f t="shared" si="20"/>
        <v>2293.2000000000003</v>
      </c>
      <c r="D102" s="3">
        <v>54.56</v>
      </c>
      <c r="E102" s="3">
        <v>16</v>
      </c>
      <c r="F102" s="3" t="str" cm="1">
        <f t="array" aca="1" ref="F102" ca="1">INDEX({"Electronics","Clothing","Food","Furniture"}, RANDBETWEEN(1,4))</f>
        <v>Electronics</v>
      </c>
      <c r="G102" s="3">
        <v>50</v>
      </c>
      <c r="H102" s="3">
        <v>2</v>
      </c>
      <c r="I102" s="3">
        <f t="shared" si="19"/>
        <v>96243.840000000011</v>
      </c>
      <c r="J102" s="3">
        <f t="shared" si="35"/>
        <v>12918214.300000003</v>
      </c>
      <c r="K102" s="4">
        <f t="shared" si="21"/>
        <v>0.44325461305116542</v>
      </c>
      <c r="M102" s="6">
        <f t="shared" si="22"/>
        <v>296.98484809834997</v>
      </c>
      <c r="N102" s="6">
        <f t="shared" si="23"/>
        <v>338.61482542853912</v>
      </c>
      <c r="O102" s="6">
        <f t="shared" si="24"/>
        <v>4.8328767123287673</v>
      </c>
      <c r="P102" s="6">
        <f t="shared" si="25"/>
        <v>77.326027397260276</v>
      </c>
      <c r="Q102" t="str">
        <f t="shared" si="26"/>
        <v>A</v>
      </c>
      <c r="R102" s="6">
        <f t="shared" si="27"/>
        <v>148.49242404917499</v>
      </c>
      <c r="S102" s="6">
        <f t="shared" si="28"/>
        <v>11.879393923933998</v>
      </c>
      <c r="T102" s="6">
        <f t="shared" si="29"/>
        <v>296.98484809834997</v>
      </c>
      <c r="U102" s="6">
        <f t="shared" si="30"/>
        <v>74.246212024587493</v>
      </c>
      <c r="V102" s="6">
        <f t="shared" si="31"/>
        <v>371.23106012293749</v>
      </c>
      <c r="W102">
        <v>39</v>
      </c>
      <c r="X102" t="str">
        <f t="shared" si="32"/>
        <v>ALERT</v>
      </c>
      <c r="Y102" s="6">
        <f t="shared" si="33"/>
        <v>21</v>
      </c>
      <c r="Z102" s="6">
        <f t="shared" si="34"/>
        <v>105</v>
      </c>
    </row>
    <row r="103" spans="1:26" x14ac:dyDescent="0.3">
      <c r="A103" s="3" t="str">
        <f t="shared" si="18"/>
        <v>SKU102</v>
      </c>
      <c r="B103" s="3">
        <v>1164</v>
      </c>
      <c r="C103" s="3">
        <f t="shared" si="20"/>
        <v>1513.2</v>
      </c>
      <c r="D103" s="3">
        <v>82.57</v>
      </c>
      <c r="E103" s="3">
        <v>28</v>
      </c>
      <c r="F103" s="3" t="str" cm="1">
        <f t="array" aca="1" ref="F103" ca="1">INDEX({"Electronics","Clothing","Food","Furniture"}, RANDBETWEEN(1,4))</f>
        <v>Furniture</v>
      </c>
      <c r="G103" s="3">
        <v>50</v>
      </c>
      <c r="H103" s="3">
        <v>2</v>
      </c>
      <c r="I103" s="3">
        <f t="shared" si="19"/>
        <v>96111.48</v>
      </c>
      <c r="J103" s="3">
        <f t="shared" si="35"/>
        <v>13014325.780000003</v>
      </c>
      <c r="K103" s="4">
        <f t="shared" si="21"/>
        <v>0.44655242619219493</v>
      </c>
      <c r="M103" s="6">
        <f t="shared" si="22"/>
        <v>241.24676163629638</v>
      </c>
      <c r="N103" s="6">
        <f t="shared" si="23"/>
        <v>275.0636290024546</v>
      </c>
      <c r="O103" s="6">
        <f t="shared" si="24"/>
        <v>3.1890410958904107</v>
      </c>
      <c r="P103" s="6">
        <f t="shared" si="25"/>
        <v>89.293150684931504</v>
      </c>
      <c r="Q103" t="str">
        <f t="shared" si="26"/>
        <v>A</v>
      </c>
      <c r="R103" s="6">
        <f t="shared" si="27"/>
        <v>120.62338081814819</v>
      </c>
      <c r="S103" s="6">
        <f t="shared" si="28"/>
        <v>9.6498704654518548</v>
      </c>
      <c r="T103" s="6">
        <f t="shared" si="29"/>
        <v>241.24676163629636</v>
      </c>
      <c r="U103" s="6">
        <f t="shared" si="30"/>
        <v>60.311690409074096</v>
      </c>
      <c r="V103" s="6">
        <f t="shared" si="31"/>
        <v>301.55845204537047</v>
      </c>
      <c r="W103">
        <v>116</v>
      </c>
      <c r="X103" t="str">
        <f t="shared" si="32"/>
        <v>OK</v>
      </c>
      <c r="Y103" s="6">
        <f t="shared" si="33"/>
        <v>33</v>
      </c>
      <c r="Z103" s="6">
        <f t="shared" si="34"/>
        <v>99</v>
      </c>
    </row>
    <row r="104" spans="1:26" x14ac:dyDescent="0.3">
      <c r="A104" s="3" t="str">
        <f t="shared" si="18"/>
        <v>SKU103</v>
      </c>
      <c r="B104" s="3">
        <v>1472</v>
      </c>
      <c r="C104" s="3">
        <f t="shared" si="20"/>
        <v>1913.6000000000001</v>
      </c>
      <c r="D104" s="3">
        <v>64.98</v>
      </c>
      <c r="E104" s="3">
        <v>15</v>
      </c>
      <c r="F104" s="3" t="str" cm="1">
        <f t="array" aca="1" ref="F104" ca="1">INDEX({"Electronics","Clothing","Food","Furniture"}, RANDBETWEEN(1,4))</f>
        <v>Electronics</v>
      </c>
      <c r="G104" s="3">
        <v>50</v>
      </c>
      <c r="H104" s="3">
        <v>2</v>
      </c>
      <c r="I104" s="3">
        <f t="shared" si="19"/>
        <v>95650.560000000012</v>
      </c>
      <c r="J104" s="3">
        <f t="shared" si="35"/>
        <v>13109976.340000004</v>
      </c>
      <c r="K104" s="4">
        <f t="shared" si="21"/>
        <v>0.44983442407335156</v>
      </c>
      <c r="M104" s="6">
        <f t="shared" si="22"/>
        <v>271.29319932501073</v>
      </c>
      <c r="N104" s="6">
        <f t="shared" si="23"/>
        <v>309.32183886689927</v>
      </c>
      <c r="O104" s="6">
        <f t="shared" si="24"/>
        <v>4.0328767123287674</v>
      </c>
      <c r="P104" s="6">
        <f t="shared" si="25"/>
        <v>60.493150684931514</v>
      </c>
      <c r="Q104" t="str">
        <f t="shared" si="26"/>
        <v>A</v>
      </c>
      <c r="R104" s="6">
        <f t="shared" si="27"/>
        <v>135.64659966250537</v>
      </c>
      <c r="S104" s="6">
        <f t="shared" si="28"/>
        <v>10.851727973000429</v>
      </c>
      <c r="T104" s="6">
        <f t="shared" si="29"/>
        <v>271.29319932501073</v>
      </c>
      <c r="U104" s="6">
        <f t="shared" si="30"/>
        <v>67.823299831252683</v>
      </c>
      <c r="V104" s="6">
        <f t="shared" si="31"/>
        <v>339.11649915626344</v>
      </c>
      <c r="W104">
        <v>108</v>
      </c>
      <c r="X104" t="str">
        <f t="shared" si="32"/>
        <v>OK</v>
      </c>
      <c r="Y104" s="6">
        <f t="shared" si="33"/>
        <v>20</v>
      </c>
      <c r="Z104" s="6">
        <f t="shared" si="34"/>
        <v>80</v>
      </c>
    </row>
    <row r="105" spans="1:26" x14ac:dyDescent="0.3">
      <c r="A105" s="3" t="str">
        <f t="shared" si="18"/>
        <v>SKU104</v>
      </c>
      <c r="B105" s="3">
        <v>1267</v>
      </c>
      <c r="C105" s="3">
        <f t="shared" si="20"/>
        <v>1647.1000000000001</v>
      </c>
      <c r="D105" s="3">
        <v>75.06</v>
      </c>
      <c r="E105" s="3">
        <v>20</v>
      </c>
      <c r="F105" s="3" t="str" cm="1">
        <f t="array" aca="1" ref="F105" ca="1">INDEX({"Electronics","Clothing","Food","Furniture"}, RANDBETWEEN(1,4))</f>
        <v>Clothing</v>
      </c>
      <c r="G105" s="3">
        <v>50</v>
      </c>
      <c r="H105" s="3">
        <v>2</v>
      </c>
      <c r="I105" s="3">
        <f t="shared" si="19"/>
        <v>95101.02</v>
      </c>
      <c r="J105" s="3">
        <f t="shared" si="35"/>
        <v>13205077.360000003</v>
      </c>
      <c r="K105" s="4">
        <f t="shared" si="21"/>
        <v>0.45309756593196515</v>
      </c>
      <c r="M105" s="6">
        <f t="shared" si="22"/>
        <v>251.69425897306439</v>
      </c>
      <c r="N105" s="6">
        <f t="shared" si="23"/>
        <v>286.97560871962622</v>
      </c>
      <c r="O105" s="6">
        <f t="shared" si="24"/>
        <v>3.4712328767123286</v>
      </c>
      <c r="P105" s="6">
        <f t="shared" si="25"/>
        <v>69.424657534246577</v>
      </c>
      <c r="Q105" t="str">
        <f t="shared" si="26"/>
        <v>A</v>
      </c>
      <c r="R105" s="6">
        <f t="shared" si="27"/>
        <v>125.8471294865322</v>
      </c>
      <c r="S105" s="6">
        <f t="shared" si="28"/>
        <v>10.067770358922575</v>
      </c>
      <c r="T105" s="6">
        <f t="shared" si="29"/>
        <v>251.69425897306436</v>
      </c>
      <c r="U105" s="6">
        <f t="shared" si="30"/>
        <v>62.923564743266098</v>
      </c>
      <c r="V105" s="6">
        <f t="shared" si="31"/>
        <v>314.61782371633046</v>
      </c>
      <c r="W105">
        <v>92</v>
      </c>
      <c r="X105" t="str">
        <f t="shared" si="32"/>
        <v>OK</v>
      </c>
      <c r="Y105" s="6">
        <f t="shared" si="33"/>
        <v>25</v>
      </c>
      <c r="Z105" s="6">
        <f t="shared" si="34"/>
        <v>75</v>
      </c>
    </row>
    <row r="106" spans="1:26" x14ac:dyDescent="0.3">
      <c r="A106" s="3" t="str">
        <f t="shared" si="18"/>
        <v>SKU105</v>
      </c>
      <c r="B106" s="3">
        <v>1304</v>
      </c>
      <c r="C106" s="3">
        <f t="shared" si="20"/>
        <v>1695.2</v>
      </c>
      <c r="D106" s="3">
        <v>72.3</v>
      </c>
      <c r="E106" s="3">
        <v>10</v>
      </c>
      <c r="F106" s="3" t="str" cm="1">
        <f t="array" aca="1" ref="F106" ca="1">INDEX({"Electronics","Clothing","Food","Furniture"}, RANDBETWEEN(1,4))</f>
        <v>Furniture</v>
      </c>
      <c r="G106" s="3">
        <v>50</v>
      </c>
      <c r="H106" s="3">
        <v>2</v>
      </c>
      <c r="I106" s="3">
        <f t="shared" si="19"/>
        <v>94279.2</v>
      </c>
      <c r="J106" s="3">
        <f t="shared" si="35"/>
        <v>13299356.560000002</v>
      </c>
      <c r="K106" s="4">
        <f t="shared" si="21"/>
        <v>0.45633250919457796</v>
      </c>
      <c r="M106" s="6">
        <f t="shared" si="22"/>
        <v>255.3429066960741</v>
      </c>
      <c r="N106" s="6">
        <f t="shared" si="23"/>
        <v>291.13570718824582</v>
      </c>
      <c r="O106" s="6">
        <f t="shared" si="24"/>
        <v>3.5726027397260274</v>
      </c>
      <c r="P106" s="6">
        <f t="shared" si="25"/>
        <v>35.726027397260275</v>
      </c>
      <c r="Q106" t="str">
        <f t="shared" si="26"/>
        <v>A</v>
      </c>
      <c r="R106" s="6">
        <f t="shared" si="27"/>
        <v>127.67145334803705</v>
      </c>
      <c r="S106" s="6">
        <f t="shared" si="28"/>
        <v>10.213716267842964</v>
      </c>
      <c r="T106" s="6">
        <f t="shared" si="29"/>
        <v>255.3429066960741</v>
      </c>
      <c r="U106" s="6">
        <f t="shared" si="30"/>
        <v>63.835726674018524</v>
      </c>
      <c r="V106" s="6">
        <f t="shared" si="31"/>
        <v>319.1786333700926</v>
      </c>
      <c r="W106">
        <v>13</v>
      </c>
      <c r="X106" t="str">
        <f t="shared" si="32"/>
        <v>ALERT</v>
      </c>
      <c r="Y106" s="6">
        <f t="shared" si="33"/>
        <v>15</v>
      </c>
      <c r="Z106" s="6">
        <f t="shared" si="34"/>
        <v>60</v>
      </c>
    </row>
    <row r="107" spans="1:26" x14ac:dyDescent="0.3">
      <c r="A107" s="3" t="str">
        <f t="shared" si="18"/>
        <v>SKU106</v>
      </c>
      <c r="B107" s="3">
        <v>1736</v>
      </c>
      <c r="C107" s="3">
        <f t="shared" si="20"/>
        <v>2256.8000000000002</v>
      </c>
      <c r="D107" s="3">
        <v>54.24</v>
      </c>
      <c r="E107" s="3">
        <v>6</v>
      </c>
      <c r="F107" s="3" t="str" cm="1">
        <f t="array" aca="1" ref="F107" ca="1">INDEX({"Electronics","Clothing","Food","Furniture"}, RANDBETWEEN(1,4))</f>
        <v>Electronics</v>
      </c>
      <c r="G107" s="3">
        <v>50</v>
      </c>
      <c r="H107" s="3">
        <v>2</v>
      </c>
      <c r="I107" s="3">
        <f t="shared" si="19"/>
        <v>94160.639999999999</v>
      </c>
      <c r="J107" s="3">
        <f t="shared" si="35"/>
        <v>13393517.200000003</v>
      </c>
      <c r="K107" s="4">
        <f t="shared" si="21"/>
        <v>0.45956338438201388</v>
      </c>
      <c r="M107" s="6">
        <f t="shared" si="22"/>
        <v>294.61839725312473</v>
      </c>
      <c r="N107" s="6">
        <f t="shared" si="23"/>
        <v>335.9166563301082</v>
      </c>
      <c r="O107" s="6">
        <f t="shared" si="24"/>
        <v>4.7561643835616438</v>
      </c>
      <c r="P107" s="6">
        <f t="shared" si="25"/>
        <v>28.536986301369865</v>
      </c>
      <c r="Q107" t="str">
        <f t="shared" si="26"/>
        <v>A</v>
      </c>
      <c r="R107" s="6">
        <f t="shared" si="27"/>
        <v>147.30919862656236</v>
      </c>
      <c r="S107" s="6">
        <f t="shared" si="28"/>
        <v>11.784735890124988</v>
      </c>
      <c r="T107" s="6">
        <f t="shared" si="29"/>
        <v>294.61839725312473</v>
      </c>
      <c r="U107" s="6">
        <f t="shared" si="30"/>
        <v>73.654599313281182</v>
      </c>
      <c r="V107" s="6">
        <f t="shared" si="31"/>
        <v>368.27299656640594</v>
      </c>
      <c r="W107">
        <v>40</v>
      </c>
      <c r="X107" t="str">
        <f t="shared" si="32"/>
        <v>OK</v>
      </c>
      <c r="Y107" s="6">
        <f t="shared" si="33"/>
        <v>11</v>
      </c>
      <c r="Z107" s="6">
        <f t="shared" si="34"/>
        <v>55</v>
      </c>
    </row>
    <row r="108" spans="1:26" x14ac:dyDescent="0.3">
      <c r="A108" s="3" t="str">
        <f t="shared" si="18"/>
        <v>SKU107</v>
      </c>
      <c r="B108" s="3">
        <v>1089</v>
      </c>
      <c r="C108" s="3">
        <f t="shared" si="20"/>
        <v>1415.7</v>
      </c>
      <c r="D108" s="3">
        <v>85.6</v>
      </c>
      <c r="E108" s="3">
        <v>22</v>
      </c>
      <c r="F108" s="3" t="str" cm="1">
        <f t="array" aca="1" ref="F108" ca="1">INDEX({"Electronics","Clothing","Food","Furniture"}, RANDBETWEEN(1,4))</f>
        <v>Clothing</v>
      </c>
      <c r="G108" s="3">
        <v>50</v>
      </c>
      <c r="H108" s="3">
        <v>2</v>
      </c>
      <c r="I108" s="3">
        <f t="shared" si="19"/>
        <v>93218.4</v>
      </c>
      <c r="J108" s="3">
        <f t="shared" si="35"/>
        <v>13486735.600000003</v>
      </c>
      <c r="K108" s="4">
        <f t="shared" si="21"/>
        <v>0.46276192907725472</v>
      </c>
      <c r="M108" s="6">
        <f t="shared" si="22"/>
        <v>233.34523779156069</v>
      </c>
      <c r="N108" s="6">
        <f t="shared" si="23"/>
        <v>266.05450569385215</v>
      </c>
      <c r="O108" s="6">
        <f t="shared" si="24"/>
        <v>2.9835616438356163</v>
      </c>
      <c r="P108" s="6">
        <f t="shared" si="25"/>
        <v>65.638356164383552</v>
      </c>
      <c r="Q108" t="str">
        <f t="shared" si="26"/>
        <v>A</v>
      </c>
      <c r="R108" s="6">
        <f t="shared" si="27"/>
        <v>116.67261889578035</v>
      </c>
      <c r="S108" s="6">
        <f t="shared" si="28"/>
        <v>9.3338095116624267</v>
      </c>
      <c r="T108" s="6">
        <f t="shared" si="29"/>
        <v>233.34523779156066</v>
      </c>
      <c r="U108" s="6">
        <f t="shared" si="30"/>
        <v>58.336309447890173</v>
      </c>
      <c r="V108" s="6">
        <f t="shared" si="31"/>
        <v>291.68154723945082</v>
      </c>
      <c r="W108">
        <v>56</v>
      </c>
      <c r="X108" t="str">
        <f t="shared" si="32"/>
        <v>ALERT</v>
      </c>
      <c r="Y108" s="6">
        <f t="shared" si="33"/>
        <v>27</v>
      </c>
      <c r="Z108" s="6">
        <f t="shared" si="34"/>
        <v>81</v>
      </c>
    </row>
    <row r="109" spans="1:26" x14ac:dyDescent="0.3">
      <c r="A109" s="3" t="str">
        <f t="shared" si="18"/>
        <v>SKU108</v>
      </c>
      <c r="B109" s="3">
        <v>1364</v>
      </c>
      <c r="C109" s="3">
        <f t="shared" si="20"/>
        <v>1773.2</v>
      </c>
      <c r="D109" s="3">
        <v>68.209999999999994</v>
      </c>
      <c r="E109" s="3">
        <v>21</v>
      </c>
      <c r="F109" s="3" t="str" cm="1">
        <f t="array" aca="1" ref="F109" ca="1">INDEX({"Electronics","Clothing","Food","Furniture"}, RANDBETWEEN(1,4))</f>
        <v>Electronics</v>
      </c>
      <c r="G109" s="3">
        <v>50</v>
      </c>
      <c r="H109" s="3">
        <v>2</v>
      </c>
      <c r="I109" s="3">
        <f t="shared" si="19"/>
        <v>93038.439999999988</v>
      </c>
      <c r="J109" s="3">
        <f t="shared" si="35"/>
        <v>13579774.040000003</v>
      </c>
      <c r="K109" s="4">
        <f t="shared" si="21"/>
        <v>0.46595429891749524</v>
      </c>
      <c r="M109" s="6">
        <f t="shared" si="22"/>
        <v>261.15129714401189</v>
      </c>
      <c r="N109" s="6">
        <f t="shared" si="23"/>
        <v>297.7582912363651</v>
      </c>
      <c r="O109" s="6">
        <f t="shared" si="24"/>
        <v>3.7369863013698632</v>
      </c>
      <c r="P109" s="6">
        <f t="shared" si="25"/>
        <v>78.476712328767121</v>
      </c>
      <c r="Q109" t="str">
        <f t="shared" si="26"/>
        <v>A</v>
      </c>
      <c r="R109" s="6">
        <f t="shared" si="27"/>
        <v>130.57564857200595</v>
      </c>
      <c r="S109" s="6">
        <f t="shared" si="28"/>
        <v>10.446051885760477</v>
      </c>
      <c r="T109" s="6">
        <f t="shared" si="29"/>
        <v>261.15129714401195</v>
      </c>
      <c r="U109" s="6">
        <f t="shared" si="30"/>
        <v>65.287824286002973</v>
      </c>
      <c r="V109" s="6">
        <f t="shared" si="31"/>
        <v>326.43912143001489</v>
      </c>
      <c r="W109">
        <v>37</v>
      </c>
      <c r="X109" t="str">
        <f t="shared" si="32"/>
        <v>ALERT</v>
      </c>
      <c r="Y109" s="6">
        <f t="shared" si="33"/>
        <v>26</v>
      </c>
      <c r="Z109" s="6">
        <f t="shared" si="34"/>
        <v>104</v>
      </c>
    </row>
    <row r="110" spans="1:26" x14ac:dyDescent="0.3">
      <c r="A110" s="3" t="str">
        <f t="shared" si="18"/>
        <v>SKU109</v>
      </c>
      <c r="B110" s="3">
        <v>1732</v>
      </c>
      <c r="C110" s="3">
        <f t="shared" si="20"/>
        <v>2251.6</v>
      </c>
      <c r="D110" s="3">
        <v>53.6</v>
      </c>
      <c r="E110" s="3">
        <v>23</v>
      </c>
      <c r="F110" s="3" t="str" cm="1">
        <f t="array" aca="1" ref="F110" ca="1">INDEX({"Electronics","Clothing","Food","Furniture"}, RANDBETWEEN(1,4))</f>
        <v>Food</v>
      </c>
      <c r="G110" s="3">
        <v>50</v>
      </c>
      <c r="H110" s="3">
        <v>2</v>
      </c>
      <c r="I110" s="3">
        <f t="shared" si="19"/>
        <v>92835.199999999997</v>
      </c>
      <c r="J110" s="3">
        <f t="shared" si="35"/>
        <v>13672609.240000002</v>
      </c>
      <c r="K110" s="4">
        <f t="shared" si="21"/>
        <v>0.46913969511064613</v>
      </c>
      <c r="M110" s="6">
        <f t="shared" si="22"/>
        <v>294.27877939124323</v>
      </c>
      <c r="N110" s="6">
        <f t="shared" si="23"/>
        <v>335.52943239006618</v>
      </c>
      <c r="O110" s="6">
        <f t="shared" si="24"/>
        <v>4.7452054794520544</v>
      </c>
      <c r="P110" s="6">
        <f t="shared" si="25"/>
        <v>109.13972602739724</v>
      </c>
      <c r="Q110" t="str">
        <f t="shared" si="26"/>
        <v>A</v>
      </c>
      <c r="R110" s="6">
        <f t="shared" si="27"/>
        <v>147.13938969562162</v>
      </c>
      <c r="S110" s="6">
        <f t="shared" si="28"/>
        <v>11.771151175649729</v>
      </c>
      <c r="T110" s="6">
        <f t="shared" si="29"/>
        <v>294.27877939124323</v>
      </c>
      <c r="U110" s="6">
        <f t="shared" si="30"/>
        <v>73.569694847810808</v>
      </c>
      <c r="V110" s="6">
        <f t="shared" si="31"/>
        <v>367.84847423905404</v>
      </c>
      <c r="W110">
        <v>96</v>
      </c>
      <c r="X110" t="str">
        <f t="shared" si="32"/>
        <v>ALERT</v>
      </c>
      <c r="Y110" s="6">
        <f t="shared" si="33"/>
        <v>28</v>
      </c>
      <c r="Z110" s="6">
        <f t="shared" si="34"/>
        <v>140</v>
      </c>
    </row>
    <row r="111" spans="1:26" x14ac:dyDescent="0.3">
      <c r="A111" s="3" t="str">
        <f t="shared" si="18"/>
        <v>SKU110</v>
      </c>
      <c r="B111" s="3">
        <v>971</v>
      </c>
      <c r="C111" s="3">
        <f t="shared" si="20"/>
        <v>1262.3</v>
      </c>
      <c r="D111" s="3">
        <v>95.31</v>
      </c>
      <c r="E111" s="3">
        <v>4</v>
      </c>
      <c r="F111" s="3" t="str" cm="1">
        <f t="array" aca="1" ref="F111" ca="1">INDEX({"Electronics","Clothing","Food","Furniture"}, RANDBETWEEN(1,4))</f>
        <v>Clothing</v>
      </c>
      <c r="G111" s="3">
        <v>50</v>
      </c>
      <c r="H111" s="3">
        <v>2</v>
      </c>
      <c r="I111" s="3">
        <f t="shared" si="19"/>
        <v>92546.010000000009</v>
      </c>
      <c r="J111" s="3">
        <f t="shared" si="35"/>
        <v>13765155.250000002</v>
      </c>
      <c r="K111" s="4">
        <f t="shared" si="21"/>
        <v>0.47231516850807836</v>
      </c>
      <c r="M111" s="6">
        <f t="shared" si="22"/>
        <v>220.34064536530704</v>
      </c>
      <c r="N111" s="6">
        <f t="shared" si="23"/>
        <v>251.22698899600735</v>
      </c>
      <c r="O111" s="6">
        <f t="shared" si="24"/>
        <v>2.6602739726027398</v>
      </c>
      <c r="P111" s="6">
        <f t="shared" si="25"/>
        <v>10.641095890410959</v>
      </c>
      <c r="Q111" t="str">
        <f t="shared" si="26"/>
        <v>A</v>
      </c>
      <c r="R111" s="6">
        <f t="shared" si="27"/>
        <v>110.17032268265352</v>
      </c>
      <c r="S111" s="6">
        <f t="shared" si="28"/>
        <v>8.8136258146122817</v>
      </c>
      <c r="T111" s="6">
        <f t="shared" si="29"/>
        <v>220.34064536530704</v>
      </c>
      <c r="U111" s="6">
        <f t="shared" si="30"/>
        <v>55.08516134132676</v>
      </c>
      <c r="V111" s="6">
        <f t="shared" si="31"/>
        <v>275.42580670663381</v>
      </c>
      <c r="W111">
        <v>43</v>
      </c>
      <c r="X111" t="str">
        <f t="shared" si="32"/>
        <v>OK</v>
      </c>
      <c r="Y111" s="6">
        <f t="shared" si="33"/>
        <v>9</v>
      </c>
      <c r="Z111" s="6">
        <f t="shared" si="34"/>
        <v>27</v>
      </c>
    </row>
    <row r="112" spans="1:26" x14ac:dyDescent="0.3">
      <c r="A112" s="3" t="str">
        <f t="shared" si="18"/>
        <v>SKU111</v>
      </c>
      <c r="B112" s="3">
        <v>1479</v>
      </c>
      <c r="C112" s="3">
        <f t="shared" si="20"/>
        <v>1922.7</v>
      </c>
      <c r="D112" s="3">
        <v>62.49</v>
      </c>
      <c r="E112" s="3">
        <v>21</v>
      </c>
      <c r="F112" s="3" t="str" cm="1">
        <f t="array" aca="1" ref="F112" ca="1">INDEX({"Electronics","Clothing","Food","Furniture"}, RANDBETWEEN(1,4))</f>
        <v>Furniture</v>
      </c>
      <c r="G112" s="3">
        <v>50</v>
      </c>
      <c r="H112" s="3">
        <v>2</v>
      </c>
      <c r="I112" s="3">
        <f t="shared" si="19"/>
        <v>92422.71</v>
      </c>
      <c r="J112" s="3">
        <f t="shared" si="35"/>
        <v>13857577.960000003</v>
      </c>
      <c r="K112" s="4">
        <f t="shared" si="21"/>
        <v>0.47548641118967644</v>
      </c>
      <c r="M112" s="6">
        <f t="shared" si="22"/>
        <v>271.93749281774296</v>
      </c>
      <c r="N112" s="6">
        <f t="shared" si="23"/>
        <v>310.05644647386384</v>
      </c>
      <c r="O112" s="6">
        <f t="shared" si="24"/>
        <v>4.0520547945205481</v>
      </c>
      <c r="P112" s="6">
        <f t="shared" si="25"/>
        <v>85.093150684931516</v>
      </c>
      <c r="Q112" t="str">
        <f t="shared" si="26"/>
        <v>A</v>
      </c>
      <c r="R112" s="6">
        <f t="shared" si="27"/>
        <v>135.96874640887148</v>
      </c>
      <c r="S112" s="6">
        <f t="shared" si="28"/>
        <v>10.877499712709717</v>
      </c>
      <c r="T112" s="6">
        <f t="shared" si="29"/>
        <v>271.93749281774291</v>
      </c>
      <c r="U112" s="6">
        <f t="shared" si="30"/>
        <v>67.984373204435741</v>
      </c>
      <c r="V112" s="6">
        <f t="shared" si="31"/>
        <v>339.92186602217862</v>
      </c>
      <c r="W112">
        <v>76</v>
      </c>
      <c r="X112" t="str">
        <f t="shared" si="32"/>
        <v>ALERT</v>
      </c>
      <c r="Y112" s="6">
        <f t="shared" si="33"/>
        <v>26</v>
      </c>
      <c r="Z112" s="6">
        <f t="shared" si="34"/>
        <v>104</v>
      </c>
    </row>
    <row r="113" spans="1:26" x14ac:dyDescent="0.3">
      <c r="A113" s="3" t="str">
        <f t="shared" si="18"/>
        <v>SKU112</v>
      </c>
      <c r="B113" s="3">
        <v>1870</v>
      </c>
      <c r="C113" s="3">
        <f t="shared" si="20"/>
        <v>2431</v>
      </c>
      <c r="D113" s="3">
        <v>49.28</v>
      </c>
      <c r="E113" s="3">
        <v>6</v>
      </c>
      <c r="F113" s="3" t="str" cm="1">
        <f t="array" aca="1" ref="F113" ca="1">INDEX({"Electronics","Clothing","Food","Furniture"}, RANDBETWEEN(1,4))</f>
        <v>Furniture</v>
      </c>
      <c r="G113" s="3">
        <v>50</v>
      </c>
      <c r="H113" s="3">
        <v>2</v>
      </c>
      <c r="I113" s="3">
        <f t="shared" si="19"/>
        <v>92153.600000000006</v>
      </c>
      <c r="J113" s="3">
        <f t="shared" si="35"/>
        <v>13949731.560000002</v>
      </c>
      <c r="K113" s="4">
        <f t="shared" si="21"/>
        <v>0.47864842006804531</v>
      </c>
      <c r="M113" s="6">
        <f t="shared" si="22"/>
        <v>305.77769702841312</v>
      </c>
      <c r="N113" s="6">
        <f t="shared" si="23"/>
        <v>348.64021569520634</v>
      </c>
      <c r="O113" s="6">
        <f t="shared" si="24"/>
        <v>5.1232876712328768</v>
      </c>
      <c r="P113" s="6">
        <f t="shared" si="25"/>
        <v>30.739726027397261</v>
      </c>
      <c r="Q113" t="str">
        <f t="shared" si="26"/>
        <v>A</v>
      </c>
      <c r="R113" s="6">
        <f t="shared" si="27"/>
        <v>152.88884851420656</v>
      </c>
      <c r="S113" s="6">
        <f t="shared" si="28"/>
        <v>12.231107881136523</v>
      </c>
      <c r="T113" s="6">
        <f t="shared" si="29"/>
        <v>305.77769702841306</v>
      </c>
      <c r="U113" s="6">
        <f t="shared" si="30"/>
        <v>76.444424257103279</v>
      </c>
      <c r="V113" s="6">
        <f t="shared" si="31"/>
        <v>382.22212128551632</v>
      </c>
      <c r="W113">
        <v>6</v>
      </c>
      <c r="X113" t="str">
        <f t="shared" si="32"/>
        <v>ALERT</v>
      </c>
      <c r="Y113" s="6">
        <f t="shared" si="33"/>
        <v>11</v>
      </c>
      <c r="Z113" s="6">
        <f t="shared" si="34"/>
        <v>55</v>
      </c>
    </row>
    <row r="114" spans="1:26" x14ac:dyDescent="0.3">
      <c r="A114" s="3" t="str">
        <f t="shared" si="18"/>
        <v>SKU113</v>
      </c>
      <c r="B114" s="3">
        <v>1096</v>
      </c>
      <c r="C114" s="3">
        <f t="shared" si="20"/>
        <v>1424.8</v>
      </c>
      <c r="D114" s="3">
        <v>84.02</v>
      </c>
      <c r="E114" s="3">
        <v>1</v>
      </c>
      <c r="F114" s="3" t="str" cm="1">
        <f t="array" aca="1" ref="F114" ca="1">INDEX({"Electronics","Clothing","Food","Furniture"}, RANDBETWEEN(1,4))</f>
        <v>Electronics</v>
      </c>
      <c r="G114" s="3">
        <v>50</v>
      </c>
      <c r="H114" s="3">
        <v>2</v>
      </c>
      <c r="I114" s="3">
        <f t="shared" si="19"/>
        <v>92085.92</v>
      </c>
      <c r="J114" s="3">
        <f t="shared" si="35"/>
        <v>14041817.480000002</v>
      </c>
      <c r="K114" s="4">
        <f t="shared" si="21"/>
        <v>0.481808106684876</v>
      </c>
      <c r="M114" s="6">
        <f t="shared" si="22"/>
        <v>234.09399821439251</v>
      </c>
      <c r="N114" s="6">
        <f t="shared" si="23"/>
        <v>266.90822392725181</v>
      </c>
      <c r="O114" s="6">
        <f t="shared" si="24"/>
        <v>3.0027397260273974</v>
      </c>
      <c r="P114" s="6">
        <f t="shared" si="25"/>
        <v>3.0027397260273974</v>
      </c>
      <c r="Q114" t="str">
        <f t="shared" si="26"/>
        <v>A</v>
      </c>
      <c r="R114" s="6">
        <f t="shared" si="27"/>
        <v>117.04699910719626</v>
      </c>
      <c r="S114" s="6">
        <f t="shared" si="28"/>
        <v>9.3637599285756998</v>
      </c>
      <c r="T114" s="6">
        <f t="shared" si="29"/>
        <v>234.09399821439249</v>
      </c>
      <c r="U114" s="6">
        <f t="shared" si="30"/>
        <v>58.523499553598128</v>
      </c>
      <c r="V114" s="6">
        <f t="shared" si="31"/>
        <v>292.61749776799059</v>
      </c>
      <c r="W114">
        <v>0</v>
      </c>
      <c r="X114" t="str">
        <f t="shared" si="32"/>
        <v>ALERT</v>
      </c>
      <c r="Y114" s="6">
        <f t="shared" si="33"/>
        <v>6</v>
      </c>
      <c r="Z114" s="6">
        <f t="shared" si="34"/>
        <v>18</v>
      </c>
    </row>
    <row r="115" spans="1:26" x14ac:dyDescent="0.3">
      <c r="A115" s="3" t="str">
        <f t="shared" si="18"/>
        <v>SKU114</v>
      </c>
      <c r="B115" s="3">
        <v>1765</v>
      </c>
      <c r="C115" s="3">
        <f t="shared" si="20"/>
        <v>2294.5</v>
      </c>
      <c r="D115" s="3">
        <v>52.14</v>
      </c>
      <c r="E115" s="3">
        <v>7</v>
      </c>
      <c r="F115" s="3" t="str" cm="1">
        <f t="array" aca="1" ref="F115" ca="1">INDEX({"Electronics","Clothing","Food","Furniture"}, RANDBETWEEN(1,4))</f>
        <v>Electronics</v>
      </c>
      <c r="G115" s="3">
        <v>50</v>
      </c>
      <c r="H115" s="3">
        <v>2</v>
      </c>
      <c r="I115" s="3">
        <f t="shared" si="19"/>
        <v>92027.1</v>
      </c>
      <c r="J115" s="3">
        <f t="shared" si="35"/>
        <v>14133844.580000002</v>
      </c>
      <c r="K115" s="4">
        <f t="shared" si="21"/>
        <v>0.48496577504781069</v>
      </c>
      <c r="M115" s="6">
        <f t="shared" si="22"/>
        <v>297.06901555025894</v>
      </c>
      <c r="N115" s="6">
        <f t="shared" si="23"/>
        <v>338.71079108879894</v>
      </c>
      <c r="O115" s="6">
        <f t="shared" si="24"/>
        <v>4.8356164383561646</v>
      </c>
      <c r="P115" s="6">
        <f t="shared" si="25"/>
        <v>33.849315068493155</v>
      </c>
      <c r="Q115" t="str">
        <f t="shared" si="26"/>
        <v>A</v>
      </c>
      <c r="R115" s="6">
        <f t="shared" si="27"/>
        <v>148.53450777512947</v>
      </c>
      <c r="S115" s="6">
        <f t="shared" si="28"/>
        <v>11.882760622010359</v>
      </c>
      <c r="T115" s="6">
        <f t="shared" si="29"/>
        <v>297.069015550259</v>
      </c>
      <c r="U115" s="6">
        <f t="shared" si="30"/>
        <v>74.267253887564735</v>
      </c>
      <c r="V115" s="6">
        <f t="shared" si="31"/>
        <v>371.33626943782372</v>
      </c>
      <c r="W115">
        <v>32</v>
      </c>
      <c r="X115" t="str">
        <f t="shared" si="32"/>
        <v>ALERT</v>
      </c>
      <c r="Y115" s="6">
        <f t="shared" si="33"/>
        <v>12</v>
      </c>
      <c r="Z115" s="6">
        <f t="shared" si="34"/>
        <v>60</v>
      </c>
    </row>
    <row r="116" spans="1:26" x14ac:dyDescent="0.3">
      <c r="A116" s="3" t="str">
        <f t="shared" si="18"/>
        <v>SKU115</v>
      </c>
      <c r="B116" s="3">
        <v>1565</v>
      </c>
      <c r="C116" s="3">
        <f t="shared" si="20"/>
        <v>2034.5</v>
      </c>
      <c r="D116" s="3">
        <v>58.52</v>
      </c>
      <c r="E116" s="3">
        <v>29</v>
      </c>
      <c r="F116" s="3" t="str" cm="1">
        <f t="array" aca="1" ref="F116" ca="1">INDEX({"Electronics","Clothing","Food","Furniture"}, RANDBETWEEN(1,4))</f>
        <v>Electronics</v>
      </c>
      <c r="G116" s="3">
        <v>50</v>
      </c>
      <c r="H116" s="3">
        <v>2</v>
      </c>
      <c r="I116" s="3">
        <f t="shared" si="19"/>
        <v>91583.8</v>
      </c>
      <c r="J116" s="3">
        <f t="shared" si="35"/>
        <v>14225428.380000003</v>
      </c>
      <c r="K116" s="4">
        <f t="shared" si="21"/>
        <v>0.48810823273491966</v>
      </c>
      <c r="M116" s="6">
        <f t="shared" si="22"/>
        <v>279.7320146139873</v>
      </c>
      <c r="N116" s="6">
        <f t="shared" si="23"/>
        <v>318.94356867634121</v>
      </c>
      <c r="O116" s="6">
        <f t="shared" si="24"/>
        <v>4.2876712328767121</v>
      </c>
      <c r="P116" s="6">
        <f t="shared" si="25"/>
        <v>124.34246575342465</v>
      </c>
      <c r="Q116" t="str">
        <f t="shared" si="26"/>
        <v>A</v>
      </c>
      <c r="R116" s="6">
        <f t="shared" si="27"/>
        <v>139.86600730699365</v>
      </c>
      <c r="S116" s="6">
        <f t="shared" si="28"/>
        <v>11.189280584559491</v>
      </c>
      <c r="T116" s="6">
        <f t="shared" si="29"/>
        <v>279.73201461398725</v>
      </c>
      <c r="U116" s="6">
        <f t="shared" si="30"/>
        <v>69.933003653496826</v>
      </c>
      <c r="V116" s="6">
        <f t="shared" si="31"/>
        <v>349.66501826748407</v>
      </c>
      <c r="W116">
        <v>152</v>
      </c>
      <c r="X116" t="str">
        <f t="shared" si="32"/>
        <v>OK</v>
      </c>
      <c r="Y116" s="6">
        <f t="shared" si="33"/>
        <v>34</v>
      </c>
      <c r="Z116" s="6">
        <f t="shared" si="34"/>
        <v>136</v>
      </c>
    </row>
    <row r="117" spans="1:26" x14ac:dyDescent="0.3">
      <c r="A117" s="3" t="str">
        <f t="shared" si="18"/>
        <v>SKU116</v>
      </c>
      <c r="B117" s="3">
        <v>1059</v>
      </c>
      <c r="C117" s="3">
        <f t="shared" si="20"/>
        <v>1376.7</v>
      </c>
      <c r="D117" s="3">
        <v>85.7</v>
      </c>
      <c r="E117" s="3">
        <v>21</v>
      </c>
      <c r="F117" s="3" t="str" cm="1">
        <f t="array" aca="1" ref="F117" ca="1">INDEX({"Electronics","Clothing","Food","Furniture"}, RANDBETWEEN(1,4))</f>
        <v>Clothing</v>
      </c>
      <c r="G117" s="3">
        <v>50</v>
      </c>
      <c r="H117" s="3">
        <v>2</v>
      </c>
      <c r="I117" s="3">
        <f t="shared" si="19"/>
        <v>90756.3</v>
      </c>
      <c r="J117" s="3">
        <f t="shared" si="35"/>
        <v>14316184.680000003</v>
      </c>
      <c r="K117" s="4">
        <f t="shared" si="21"/>
        <v>0.49122229693173791</v>
      </c>
      <c r="M117" s="6">
        <f t="shared" si="22"/>
        <v>230.10866998007702</v>
      </c>
      <c r="N117" s="6">
        <f t="shared" si="23"/>
        <v>262.36425061353157</v>
      </c>
      <c r="O117" s="6">
        <f t="shared" si="24"/>
        <v>2.9013698630136986</v>
      </c>
      <c r="P117" s="6">
        <f t="shared" si="25"/>
        <v>60.92876712328767</v>
      </c>
      <c r="Q117" t="str">
        <f t="shared" si="26"/>
        <v>A</v>
      </c>
      <c r="R117" s="6">
        <f t="shared" si="27"/>
        <v>115.05433499003851</v>
      </c>
      <c r="S117" s="6">
        <f t="shared" si="28"/>
        <v>9.2043467992030816</v>
      </c>
      <c r="T117" s="6">
        <f t="shared" si="29"/>
        <v>230.10866998007705</v>
      </c>
      <c r="U117" s="6">
        <f t="shared" si="30"/>
        <v>57.527167495019256</v>
      </c>
      <c r="V117" s="6">
        <f t="shared" si="31"/>
        <v>287.63583747509631</v>
      </c>
      <c r="W117">
        <v>95</v>
      </c>
      <c r="X117" t="str">
        <f t="shared" si="32"/>
        <v>OK</v>
      </c>
      <c r="Y117" s="6">
        <f t="shared" si="33"/>
        <v>26</v>
      </c>
      <c r="Z117" s="6">
        <f t="shared" si="34"/>
        <v>78</v>
      </c>
    </row>
    <row r="118" spans="1:26" x14ac:dyDescent="0.3">
      <c r="A118" s="3" t="str">
        <f t="shared" si="18"/>
        <v>SKU117</v>
      </c>
      <c r="B118" s="3">
        <v>1257</v>
      </c>
      <c r="C118" s="3">
        <f t="shared" si="20"/>
        <v>1634.1000000000001</v>
      </c>
      <c r="D118" s="3">
        <v>71.790000000000006</v>
      </c>
      <c r="E118" s="3">
        <v>20</v>
      </c>
      <c r="F118" s="3" t="str" cm="1">
        <f t="array" aca="1" ref="F118" ca="1">INDEX({"Electronics","Clothing","Food","Furniture"}, RANDBETWEEN(1,4))</f>
        <v>Electronics</v>
      </c>
      <c r="G118" s="3">
        <v>50</v>
      </c>
      <c r="H118" s="3">
        <v>2</v>
      </c>
      <c r="I118" s="3">
        <f t="shared" si="19"/>
        <v>90240.030000000013</v>
      </c>
      <c r="J118" s="3">
        <f t="shared" si="35"/>
        <v>14406424.710000003</v>
      </c>
      <c r="K118" s="4">
        <f t="shared" si="21"/>
        <v>0.49431864667872849</v>
      </c>
      <c r="M118" s="6">
        <f t="shared" si="22"/>
        <v>250.6990227344335</v>
      </c>
      <c r="N118" s="6">
        <f t="shared" si="23"/>
        <v>285.84086481817116</v>
      </c>
      <c r="O118" s="6">
        <f t="shared" si="24"/>
        <v>3.4438356164383563</v>
      </c>
      <c r="P118" s="6">
        <f t="shared" si="25"/>
        <v>68.876712328767127</v>
      </c>
      <c r="Q118" t="str">
        <f t="shared" si="26"/>
        <v>A</v>
      </c>
      <c r="R118" s="6">
        <f t="shared" si="27"/>
        <v>125.34951136721675</v>
      </c>
      <c r="S118" s="6">
        <f t="shared" si="28"/>
        <v>10.02796090937734</v>
      </c>
      <c r="T118" s="6">
        <f t="shared" si="29"/>
        <v>250.6990227344335</v>
      </c>
      <c r="U118" s="6">
        <f t="shared" si="30"/>
        <v>62.674755683608375</v>
      </c>
      <c r="V118" s="6">
        <f t="shared" si="31"/>
        <v>313.37377841804187</v>
      </c>
      <c r="W118">
        <v>110</v>
      </c>
      <c r="X118" t="str">
        <f t="shared" si="32"/>
        <v>OK</v>
      </c>
      <c r="Y118" s="6">
        <f t="shared" si="33"/>
        <v>25</v>
      </c>
      <c r="Z118" s="6">
        <f t="shared" si="34"/>
        <v>75</v>
      </c>
    </row>
    <row r="119" spans="1:26" x14ac:dyDescent="0.3">
      <c r="A119" s="3" t="str">
        <f t="shared" si="18"/>
        <v>SKU118</v>
      </c>
      <c r="B119" s="3">
        <v>1038</v>
      </c>
      <c r="C119" s="3">
        <f t="shared" si="20"/>
        <v>1349.4</v>
      </c>
      <c r="D119" s="3">
        <v>86.5</v>
      </c>
      <c r="E119" s="3">
        <v>29</v>
      </c>
      <c r="F119" s="3" t="str" cm="1">
        <f t="array" aca="1" ref="F119" ca="1">INDEX({"Electronics","Clothing","Food","Furniture"}, RANDBETWEEN(1,4))</f>
        <v>Electronics</v>
      </c>
      <c r="G119" s="3">
        <v>50</v>
      </c>
      <c r="H119" s="3">
        <v>2</v>
      </c>
      <c r="I119" s="3">
        <f t="shared" si="19"/>
        <v>89787</v>
      </c>
      <c r="J119" s="3">
        <f t="shared" si="35"/>
        <v>14496211.710000003</v>
      </c>
      <c r="K119" s="4">
        <f t="shared" si="21"/>
        <v>0.49739945189048479</v>
      </c>
      <c r="M119" s="6">
        <f t="shared" si="22"/>
        <v>227.81571499789035</v>
      </c>
      <c r="N119" s="6">
        <f t="shared" si="23"/>
        <v>259.74987969198366</v>
      </c>
      <c r="O119" s="6">
        <f t="shared" si="24"/>
        <v>2.8438356164383563</v>
      </c>
      <c r="P119" s="6">
        <f t="shared" si="25"/>
        <v>82.471232876712335</v>
      </c>
      <c r="Q119" t="str">
        <f t="shared" si="26"/>
        <v>A</v>
      </c>
      <c r="R119" s="6">
        <f t="shared" si="27"/>
        <v>113.90785749894518</v>
      </c>
      <c r="S119" s="6">
        <f t="shared" si="28"/>
        <v>9.1126285999156131</v>
      </c>
      <c r="T119" s="6">
        <f t="shared" si="29"/>
        <v>227.81571499789032</v>
      </c>
      <c r="U119" s="6">
        <f t="shared" si="30"/>
        <v>56.953928749472588</v>
      </c>
      <c r="V119" s="6">
        <f t="shared" si="31"/>
        <v>284.76964374736292</v>
      </c>
      <c r="W119">
        <v>21</v>
      </c>
      <c r="X119" t="str">
        <f t="shared" si="32"/>
        <v>ALERT</v>
      </c>
      <c r="Y119" s="6">
        <f t="shared" si="33"/>
        <v>34</v>
      </c>
      <c r="Z119" s="6">
        <f t="shared" si="34"/>
        <v>102</v>
      </c>
    </row>
    <row r="120" spans="1:26" x14ac:dyDescent="0.3">
      <c r="A120" s="3" t="str">
        <f t="shared" si="18"/>
        <v>SKU119</v>
      </c>
      <c r="B120" s="3">
        <v>1578</v>
      </c>
      <c r="C120" s="3">
        <f t="shared" si="20"/>
        <v>2051.4</v>
      </c>
      <c r="D120" s="3">
        <v>56.5</v>
      </c>
      <c r="E120" s="3">
        <v>2</v>
      </c>
      <c r="F120" s="3" t="str" cm="1">
        <f t="array" aca="1" ref="F120" ca="1">INDEX({"Electronics","Clothing","Food","Furniture"}, RANDBETWEEN(1,4))</f>
        <v>Food</v>
      </c>
      <c r="G120" s="3">
        <v>50</v>
      </c>
      <c r="H120" s="3">
        <v>2</v>
      </c>
      <c r="I120" s="3">
        <f t="shared" si="19"/>
        <v>89157</v>
      </c>
      <c r="J120" s="3">
        <f t="shared" si="35"/>
        <v>14585368.710000003</v>
      </c>
      <c r="K120" s="4">
        <f t="shared" si="21"/>
        <v>0.50045864030600773</v>
      </c>
      <c r="M120" s="6">
        <f t="shared" si="22"/>
        <v>280.89143810376277</v>
      </c>
      <c r="N120" s="6">
        <f t="shared" si="23"/>
        <v>320.26551484666595</v>
      </c>
      <c r="O120" s="6">
        <f t="shared" si="24"/>
        <v>4.3232876712328769</v>
      </c>
      <c r="P120" s="6">
        <f t="shared" si="25"/>
        <v>8.6465753424657539</v>
      </c>
      <c r="Q120" t="str">
        <f t="shared" si="26"/>
        <v>A</v>
      </c>
      <c r="R120" s="6">
        <f t="shared" si="27"/>
        <v>140.44571905188138</v>
      </c>
      <c r="S120" s="6">
        <f t="shared" si="28"/>
        <v>11.235657524150513</v>
      </c>
      <c r="T120" s="6">
        <f t="shared" si="29"/>
        <v>280.89143810376282</v>
      </c>
      <c r="U120" s="6">
        <f t="shared" si="30"/>
        <v>70.222859525940692</v>
      </c>
      <c r="V120" s="6">
        <f t="shared" si="31"/>
        <v>351.11429762970351</v>
      </c>
      <c r="W120">
        <v>31</v>
      </c>
      <c r="X120" t="str">
        <f t="shared" si="32"/>
        <v>OK</v>
      </c>
      <c r="Y120" s="6">
        <f t="shared" si="33"/>
        <v>7</v>
      </c>
      <c r="Z120" s="6">
        <f t="shared" si="34"/>
        <v>28</v>
      </c>
    </row>
    <row r="121" spans="1:26" x14ac:dyDescent="0.3">
      <c r="A121" s="3" t="str">
        <f t="shared" si="18"/>
        <v>SKU120</v>
      </c>
      <c r="B121" s="3">
        <v>1632</v>
      </c>
      <c r="C121" s="3">
        <f t="shared" si="20"/>
        <v>2121.6</v>
      </c>
      <c r="D121" s="3">
        <v>54.16</v>
      </c>
      <c r="E121" s="3">
        <v>23</v>
      </c>
      <c r="F121" s="3" t="str" cm="1">
        <f t="array" aca="1" ref="F121" ca="1">INDEX({"Electronics","Clothing","Food","Furniture"}, RANDBETWEEN(1,4))</f>
        <v>Clothing</v>
      </c>
      <c r="G121" s="3">
        <v>50</v>
      </c>
      <c r="H121" s="3">
        <v>2</v>
      </c>
      <c r="I121" s="3">
        <f t="shared" si="19"/>
        <v>88389.119999999995</v>
      </c>
      <c r="J121" s="3">
        <f t="shared" si="35"/>
        <v>14673757.830000002</v>
      </c>
      <c r="K121" s="4">
        <f t="shared" si="21"/>
        <v>0.50349148093503593</v>
      </c>
      <c r="M121" s="6">
        <f t="shared" si="22"/>
        <v>285.65713714171397</v>
      </c>
      <c r="N121" s="6">
        <f t="shared" si="23"/>
        <v>325.69924777315651</v>
      </c>
      <c r="O121" s="6">
        <f t="shared" si="24"/>
        <v>4.4712328767123291</v>
      </c>
      <c r="P121" s="6">
        <f t="shared" si="25"/>
        <v>102.83835616438357</v>
      </c>
      <c r="Q121" t="str">
        <f t="shared" si="26"/>
        <v>A</v>
      </c>
      <c r="R121" s="6">
        <f t="shared" si="27"/>
        <v>142.82856857085699</v>
      </c>
      <c r="S121" s="6">
        <f t="shared" si="28"/>
        <v>11.426285485668561</v>
      </c>
      <c r="T121" s="6">
        <f t="shared" si="29"/>
        <v>285.65713714171403</v>
      </c>
      <c r="U121" s="6">
        <f t="shared" si="30"/>
        <v>71.414284285428494</v>
      </c>
      <c r="V121" s="6">
        <f t="shared" si="31"/>
        <v>357.07142142714252</v>
      </c>
      <c r="W121">
        <v>56</v>
      </c>
      <c r="X121" t="str">
        <f t="shared" si="32"/>
        <v>ALERT</v>
      </c>
      <c r="Y121" s="6">
        <f t="shared" si="33"/>
        <v>28</v>
      </c>
      <c r="Z121" s="6">
        <f t="shared" si="34"/>
        <v>112</v>
      </c>
    </row>
    <row r="122" spans="1:26" x14ac:dyDescent="0.3">
      <c r="A122" s="3" t="str">
        <f t="shared" si="18"/>
        <v>SKU121</v>
      </c>
      <c r="B122" s="3">
        <v>1703</v>
      </c>
      <c r="C122" s="3">
        <f t="shared" si="20"/>
        <v>2213.9</v>
      </c>
      <c r="D122" s="3">
        <v>51.87</v>
      </c>
      <c r="E122" s="3">
        <v>20</v>
      </c>
      <c r="F122" s="3" t="str" cm="1">
        <f t="array" aca="1" ref="F122" ca="1">INDEX({"Electronics","Clothing","Food","Furniture"}, RANDBETWEEN(1,4))</f>
        <v>Clothing</v>
      </c>
      <c r="G122" s="3">
        <v>50</v>
      </c>
      <c r="H122" s="3">
        <v>2</v>
      </c>
      <c r="I122" s="3">
        <f t="shared" si="19"/>
        <v>88334.61</v>
      </c>
      <c r="J122" s="3">
        <f t="shared" si="35"/>
        <v>14762092.440000001</v>
      </c>
      <c r="K122" s="4">
        <f t="shared" si="21"/>
        <v>0.5065224511965043</v>
      </c>
      <c r="M122" s="6">
        <f t="shared" si="22"/>
        <v>291.80472922829745</v>
      </c>
      <c r="N122" s="6">
        <f t="shared" si="23"/>
        <v>332.7085811938129</v>
      </c>
      <c r="O122" s="6">
        <f t="shared" si="24"/>
        <v>4.6657534246575345</v>
      </c>
      <c r="P122" s="6">
        <f t="shared" si="25"/>
        <v>93.31506849315069</v>
      </c>
      <c r="Q122" t="str">
        <f t="shared" si="26"/>
        <v>A</v>
      </c>
      <c r="R122" s="6">
        <f t="shared" si="27"/>
        <v>145.90236461414872</v>
      </c>
      <c r="S122" s="6">
        <f t="shared" si="28"/>
        <v>11.672189169131899</v>
      </c>
      <c r="T122" s="6">
        <f t="shared" si="29"/>
        <v>291.8047292282975</v>
      </c>
      <c r="U122" s="6">
        <f t="shared" si="30"/>
        <v>72.951182307074362</v>
      </c>
      <c r="V122" s="6">
        <f t="shared" si="31"/>
        <v>364.75591153537187</v>
      </c>
      <c r="W122">
        <v>106</v>
      </c>
      <c r="X122" t="str">
        <f t="shared" si="32"/>
        <v>OK</v>
      </c>
      <c r="Y122" s="6">
        <f t="shared" si="33"/>
        <v>25</v>
      </c>
      <c r="Z122" s="6">
        <f t="shared" si="34"/>
        <v>125</v>
      </c>
    </row>
    <row r="123" spans="1:26" x14ac:dyDescent="0.3">
      <c r="A123" s="3" t="str">
        <f t="shared" si="18"/>
        <v>SKU122</v>
      </c>
      <c r="B123" s="3">
        <v>1008</v>
      </c>
      <c r="C123" s="3">
        <f t="shared" si="20"/>
        <v>1310.4000000000001</v>
      </c>
      <c r="D123" s="3">
        <v>86.91</v>
      </c>
      <c r="E123" s="3">
        <v>13</v>
      </c>
      <c r="F123" s="3" t="str" cm="1">
        <f t="array" aca="1" ref="F123" ca="1">INDEX({"Electronics","Clothing","Food","Furniture"}, RANDBETWEEN(1,4))</f>
        <v>Furniture</v>
      </c>
      <c r="G123" s="3">
        <v>50</v>
      </c>
      <c r="H123" s="3">
        <v>2</v>
      </c>
      <c r="I123" s="3">
        <f t="shared" si="19"/>
        <v>87605.28</v>
      </c>
      <c r="J123" s="3">
        <f t="shared" si="35"/>
        <v>14849697.720000001</v>
      </c>
      <c r="K123" s="4">
        <f t="shared" si="21"/>
        <v>0.50952839641353309</v>
      </c>
      <c r="M123" s="6">
        <f t="shared" si="22"/>
        <v>224.4994432064365</v>
      </c>
      <c r="N123" s="6">
        <f t="shared" si="23"/>
        <v>255.96874809241851</v>
      </c>
      <c r="O123" s="6">
        <f t="shared" si="24"/>
        <v>2.7616438356164386</v>
      </c>
      <c r="P123" s="6">
        <f t="shared" si="25"/>
        <v>35.901369863013699</v>
      </c>
      <c r="Q123" t="str">
        <f t="shared" si="26"/>
        <v>A</v>
      </c>
      <c r="R123" s="6">
        <f t="shared" si="27"/>
        <v>112.24972160321825</v>
      </c>
      <c r="S123" s="6">
        <f t="shared" si="28"/>
        <v>8.9799777282574595</v>
      </c>
      <c r="T123" s="6">
        <f t="shared" si="29"/>
        <v>224.4994432064365</v>
      </c>
      <c r="U123" s="6">
        <f t="shared" si="30"/>
        <v>56.124860801609124</v>
      </c>
      <c r="V123" s="6">
        <f t="shared" si="31"/>
        <v>280.62430400804561</v>
      </c>
      <c r="W123">
        <v>55</v>
      </c>
      <c r="X123" t="str">
        <f t="shared" si="32"/>
        <v>OK</v>
      </c>
      <c r="Y123" s="6">
        <f t="shared" si="33"/>
        <v>18</v>
      </c>
      <c r="Z123" s="6">
        <f t="shared" si="34"/>
        <v>54</v>
      </c>
    </row>
    <row r="124" spans="1:26" x14ac:dyDescent="0.3">
      <c r="A124" s="3" t="str">
        <f t="shared" si="18"/>
        <v>SKU123</v>
      </c>
      <c r="B124" s="3">
        <v>1198</v>
      </c>
      <c r="C124" s="3">
        <f t="shared" si="20"/>
        <v>1557.4</v>
      </c>
      <c r="D124" s="3">
        <v>73.02</v>
      </c>
      <c r="E124" s="3">
        <v>17</v>
      </c>
      <c r="F124" s="3" t="str" cm="1">
        <f t="array" aca="1" ref="F124" ca="1">INDEX({"Electronics","Clothing","Food","Furniture"}, RANDBETWEEN(1,4))</f>
        <v>Food</v>
      </c>
      <c r="G124" s="3">
        <v>50</v>
      </c>
      <c r="H124" s="3">
        <v>2</v>
      </c>
      <c r="I124" s="3">
        <f t="shared" si="19"/>
        <v>87477.959999999992</v>
      </c>
      <c r="J124" s="3">
        <f t="shared" si="35"/>
        <v>14937175.680000002</v>
      </c>
      <c r="K124" s="4">
        <f t="shared" si="21"/>
        <v>0.5125299729789804</v>
      </c>
      <c r="M124" s="6">
        <f t="shared" si="22"/>
        <v>244.74476501040834</v>
      </c>
      <c r="N124" s="6">
        <f t="shared" si="23"/>
        <v>279.05196648653094</v>
      </c>
      <c r="O124" s="6">
        <f t="shared" si="24"/>
        <v>3.2821917808219179</v>
      </c>
      <c r="P124" s="6">
        <f t="shared" si="25"/>
        <v>55.797260273972604</v>
      </c>
      <c r="Q124" t="str">
        <f t="shared" si="26"/>
        <v>A</v>
      </c>
      <c r="R124" s="6">
        <f t="shared" si="27"/>
        <v>122.37238250520417</v>
      </c>
      <c r="S124" s="6">
        <f t="shared" si="28"/>
        <v>9.7897906004163335</v>
      </c>
      <c r="T124" s="6">
        <f t="shared" si="29"/>
        <v>244.74476501040834</v>
      </c>
      <c r="U124" s="6">
        <f t="shared" si="30"/>
        <v>61.186191252602086</v>
      </c>
      <c r="V124" s="6">
        <f t="shared" si="31"/>
        <v>305.93095626301044</v>
      </c>
      <c r="W124">
        <v>104</v>
      </c>
      <c r="X124" t="str">
        <f t="shared" si="32"/>
        <v>OK</v>
      </c>
      <c r="Y124" s="6">
        <f t="shared" si="33"/>
        <v>22</v>
      </c>
      <c r="Z124" s="6">
        <f t="shared" si="34"/>
        <v>66</v>
      </c>
    </row>
    <row r="125" spans="1:26" x14ac:dyDescent="0.3">
      <c r="A125" s="3" t="str">
        <f t="shared" si="18"/>
        <v>SKU124</v>
      </c>
      <c r="B125" s="3">
        <v>1569</v>
      </c>
      <c r="C125" s="3">
        <f t="shared" si="20"/>
        <v>2039.7</v>
      </c>
      <c r="D125" s="3">
        <v>55.75</v>
      </c>
      <c r="E125" s="3">
        <v>13</v>
      </c>
      <c r="F125" s="3" t="str" cm="1">
        <f t="array" aca="1" ref="F125" ca="1">INDEX({"Electronics","Clothing","Food","Furniture"}, RANDBETWEEN(1,4))</f>
        <v>Food</v>
      </c>
      <c r="G125" s="3">
        <v>50</v>
      </c>
      <c r="H125" s="3">
        <v>2</v>
      </c>
      <c r="I125" s="3">
        <f t="shared" si="19"/>
        <v>87471.75</v>
      </c>
      <c r="J125" s="3">
        <f t="shared" si="35"/>
        <v>15024647.430000002</v>
      </c>
      <c r="K125" s="4">
        <f t="shared" si="21"/>
        <v>0.51553133646457905</v>
      </c>
      <c r="M125" s="6">
        <f t="shared" si="22"/>
        <v>280.08927148321834</v>
      </c>
      <c r="N125" s="6">
        <f t="shared" si="23"/>
        <v>319.35090417908634</v>
      </c>
      <c r="O125" s="6">
        <f t="shared" si="24"/>
        <v>4.2986301369863016</v>
      </c>
      <c r="P125" s="6">
        <f t="shared" si="25"/>
        <v>55.88219178082192</v>
      </c>
      <c r="Q125" t="str">
        <f t="shared" si="26"/>
        <v>A</v>
      </c>
      <c r="R125" s="6">
        <f t="shared" si="27"/>
        <v>140.04463574160917</v>
      </c>
      <c r="S125" s="6">
        <f t="shared" si="28"/>
        <v>11.203570859328735</v>
      </c>
      <c r="T125" s="6">
        <f t="shared" si="29"/>
        <v>280.0892714832184</v>
      </c>
      <c r="U125" s="6">
        <f t="shared" si="30"/>
        <v>70.022317870804585</v>
      </c>
      <c r="V125" s="6">
        <f t="shared" si="31"/>
        <v>350.11158935402295</v>
      </c>
      <c r="W125">
        <v>33</v>
      </c>
      <c r="X125" t="str">
        <f t="shared" si="32"/>
        <v>ALERT</v>
      </c>
      <c r="Y125" s="6">
        <f t="shared" si="33"/>
        <v>18</v>
      </c>
      <c r="Z125" s="6">
        <f t="shared" si="34"/>
        <v>72</v>
      </c>
    </row>
    <row r="126" spans="1:26" x14ac:dyDescent="0.3">
      <c r="A126" s="3" t="str">
        <f t="shared" si="18"/>
        <v>SKU125</v>
      </c>
      <c r="B126" s="3">
        <v>910</v>
      </c>
      <c r="C126" s="3">
        <f t="shared" si="20"/>
        <v>1183</v>
      </c>
      <c r="D126" s="3">
        <v>96.06</v>
      </c>
      <c r="E126" s="3">
        <v>16</v>
      </c>
      <c r="F126" s="3" t="str" cm="1">
        <f t="array" aca="1" ref="F126" ca="1">INDEX({"Electronics","Clothing","Food","Furniture"}, RANDBETWEEN(1,4))</f>
        <v>Furniture</v>
      </c>
      <c r="G126" s="3">
        <v>50</v>
      </c>
      <c r="H126" s="3">
        <v>2</v>
      </c>
      <c r="I126" s="3">
        <f t="shared" si="19"/>
        <v>87414.6</v>
      </c>
      <c r="J126" s="3">
        <f t="shared" si="35"/>
        <v>15112062.030000001</v>
      </c>
      <c r="K126" s="4">
        <f t="shared" si="21"/>
        <v>0.51853073899794788</v>
      </c>
      <c r="M126" s="6">
        <f t="shared" si="22"/>
        <v>213.30729007701541</v>
      </c>
      <c r="N126" s="6">
        <f t="shared" si="23"/>
        <v>243.20773014030618</v>
      </c>
      <c r="O126" s="6">
        <f t="shared" si="24"/>
        <v>2.493150684931507</v>
      </c>
      <c r="P126" s="6">
        <f t="shared" si="25"/>
        <v>39.890410958904113</v>
      </c>
      <c r="Q126" t="str">
        <f t="shared" si="26"/>
        <v>A</v>
      </c>
      <c r="R126" s="6">
        <f t="shared" si="27"/>
        <v>106.6536450385077</v>
      </c>
      <c r="S126" s="6">
        <f t="shared" si="28"/>
        <v>8.5322916030806173</v>
      </c>
      <c r="T126" s="6">
        <f t="shared" si="29"/>
        <v>213.30729007701544</v>
      </c>
      <c r="U126" s="6">
        <f t="shared" si="30"/>
        <v>53.326822519253852</v>
      </c>
      <c r="V126" s="6">
        <f t="shared" si="31"/>
        <v>266.63411259626929</v>
      </c>
      <c r="W126">
        <v>23</v>
      </c>
      <c r="X126" t="str">
        <f t="shared" si="32"/>
        <v>ALERT</v>
      </c>
      <c r="Y126" s="6">
        <f t="shared" si="33"/>
        <v>21</v>
      </c>
      <c r="Z126" s="6">
        <f t="shared" si="34"/>
        <v>42</v>
      </c>
    </row>
    <row r="127" spans="1:26" x14ac:dyDescent="0.3">
      <c r="A127" s="3" t="str">
        <f t="shared" si="18"/>
        <v>SKU126</v>
      </c>
      <c r="B127" s="3">
        <v>901</v>
      </c>
      <c r="C127" s="3">
        <f t="shared" si="20"/>
        <v>1171.3</v>
      </c>
      <c r="D127" s="3">
        <v>96.58</v>
      </c>
      <c r="E127" s="3">
        <v>28</v>
      </c>
      <c r="F127" s="3" t="str" cm="1">
        <f t="array" aca="1" ref="F127" ca="1">INDEX({"Electronics","Clothing","Food","Furniture"}, RANDBETWEEN(1,4))</f>
        <v>Electronics</v>
      </c>
      <c r="G127" s="3">
        <v>50</v>
      </c>
      <c r="H127" s="3">
        <v>2</v>
      </c>
      <c r="I127" s="3">
        <f t="shared" si="19"/>
        <v>87018.58</v>
      </c>
      <c r="J127" s="3">
        <f t="shared" si="35"/>
        <v>15199080.610000001</v>
      </c>
      <c r="K127" s="4">
        <f t="shared" si="21"/>
        <v>0.52151655314457979</v>
      </c>
      <c r="M127" s="6">
        <f t="shared" si="22"/>
        <v>212.24985276791125</v>
      </c>
      <c r="N127" s="6">
        <f t="shared" si="23"/>
        <v>242.00206610688264</v>
      </c>
      <c r="O127" s="6">
        <f t="shared" si="24"/>
        <v>2.4684931506849317</v>
      </c>
      <c r="P127" s="6">
        <f t="shared" si="25"/>
        <v>69.117808219178087</v>
      </c>
      <c r="Q127" t="str">
        <f t="shared" si="26"/>
        <v>A</v>
      </c>
      <c r="R127" s="6">
        <f t="shared" si="27"/>
        <v>106.12492638395562</v>
      </c>
      <c r="S127" s="6">
        <f t="shared" si="28"/>
        <v>8.4899941107164487</v>
      </c>
      <c r="T127" s="6">
        <f t="shared" si="29"/>
        <v>212.24985276791122</v>
      </c>
      <c r="U127" s="6">
        <f t="shared" si="30"/>
        <v>53.062463191977812</v>
      </c>
      <c r="V127" s="6">
        <f t="shared" si="31"/>
        <v>265.31231595988902</v>
      </c>
      <c r="W127">
        <v>9</v>
      </c>
      <c r="X127" t="str">
        <f t="shared" si="32"/>
        <v>ALERT</v>
      </c>
      <c r="Y127" s="6">
        <f t="shared" si="33"/>
        <v>33</v>
      </c>
      <c r="Z127" s="6">
        <f t="shared" si="34"/>
        <v>66</v>
      </c>
    </row>
    <row r="128" spans="1:26" x14ac:dyDescent="0.3">
      <c r="A128" s="3" t="str">
        <f t="shared" si="18"/>
        <v>SKU127</v>
      </c>
      <c r="B128" s="3">
        <v>1171</v>
      </c>
      <c r="C128" s="3">
        <f t="shared" si="20"/>
        <v>1522.3</v>
      </c>
      <c r="D128" s="3">
        <v>73.67</v>
      </c>
      <c r="E128" s="3">
        <v>20</v>
      </c>
      <c r="F128" s="3" t="str" cm="1">
        <f t="array" aca="1" ref="F128" ca="1">INDEX({"Electronics","Clothing","Food","Furniture"}, RANDBETWEEN(1,4))</f>
        <v>Furniture</v>
      </c>
      <c r="G128" s="3">
        <v>50</v>
      </c>
      <c r="H128" s="3">
        <v>2</v>
      </c>
      <c r="I128" s="3">
        <f t="shared" si="19"/>
        <v>86267.57</v>
      </c>
      <c r="J128" s="3">
        <f t="shared" si="35"/>
        <v>15285348.180000002</v>
      </c>
      <c r="K128" s="4">
        <f t="shared" si="21"/>
        <v>0.52447659835448268</v>
      </c>
      <c r="M128" s="6">
        <f t="shared" si="22"/>
        <v>241.97107265125723</v>
      </c>
      <c r="N128" s="6">
        <f t="shared" si="23"/>
        <v>275.88947062184161</v>
      </c>
      <c r="O128" s="6">
        <f t="shared" si="24"/>
        <v>3.2082191780821918</v>
      </c>
      <c r="P128" s="6">
        <f t="shared" si="25"/>
        <v>64.164383561643831</v>
      </c>
      <c r="Q128" t="str">
        <f t="shared" si="26"/>
        <v>A</v>
      </c>
      <c r="R128" s="6">
        <f t="shared" si="27"/>
        <v>120.98553632562862</v>
      </c>
      <c r="S128" s="6">
        <f t="shared" si="28"/>
        <v>9.6788429060502885</v>
      </c>
      <c r="T128" s="6">
        <f t="shared" si="29"/>
        <v>241.9710726512572</v>
      </c>
      <c r="U128" s="6">
        <f t="shared" si="30"/>
        <v>60.492768162814308</v>
      </c>
      <c r="V128" s="6">
        <f t="shared" si="31"/>
        <v>302.46384081407149</v>
      </c>
      <c r="W128">
        <v>78</v>
      </c>
      <c r="X128" t="str">
        <f t="shared" si="32"/>
        <v>OK</v>
      </c>
      <c r="Y128" s="6">
        <f t="shared" si="33"/>
        <v>25</v>
      </c>
      <c r="Z128" s="6">
        <f t="shared" si="34"/>
        <v>75</v>
      </c>
    </row>
    <row r="129" spans="1:26" x14ac:dyDescent="0.3">
      <c r="A129" s="3" t="str">
        <f t="shared" si="18"/>
        <v>SKU128</v>
      </c>
      <c r="B129" s="3">
        <v>1434</v>
      </c>
      <c r="C129" s="3">
        <f t="shared" si="20"/>
        <v>1864.2</v>
      </c>
      <c r="D129" s="3">
        <v>60.04</v>
      </c>
      <c r="E129" s="3">
        <v>23</v>
      </c>
      <c r="F129" s="3" t="str" cm="1">
        <f t="array" aca="1" ref="F129" ca="1">INDEX({"Electronics","Clothing","Food","Furniture"}, RANDBETWEEN(1,4))</f>
        <v>Furniture</v>
      </c>
      <c r="G129" s="3">
        <v>50</v>
      </c>
      <c r="H129" s="3">
        <v>2</v>
      </c>
      <c r="I129" s="3">
        <f t="shared" si="19"/>
        <v>86097.36</v>
      </c>
      <c r="J129" s="3">
        <f t="shared" si="35"/>
        <v>15371445.540000001</v>
      </c>
      <c r="K129" s="4">
        <f t="shared" si="21"/>
        <v>0.52743080325504132</v>
      </c>
      <c r="M129" s="6">
        <f t="shared" si="22"/>
        <v>267.76855677991767</v>
      </c>
      <c r="N129" s="6">
        <f t="shared" si="23"/>
        <v>305.30312805472533</v>
      </c>
      <c r="O129" s="6">
        <f t="shared" si="24"/>
        <v>3.9287671232876713</v>
      </c>
      <c r="P129" s="6">
        <f t="shared" si="25"/>
        <v>90.361643835616434</v>
      </c>
      <c r="Q129" t="str">
        <f t="shared" si="26"/>
        <v>A</v>
      </c>
      <c r="R129" s="6">
        <f t="shared" si="27"/>
        <v>133.88427838995884</v>
      </c>
      <c r="S129" s="6">
        <f t="shared" si="28"/>
        <v>10.710742271196708</v>
      </c>
      <c r="T129" s="6">
        <f t="shared" si="29"/>
        <v>267.76855677991767</v>
      </c>
      <c r="U129" s="6">
        <f t="shared" si="30"/>
        <v>66.942139194979418</v>
      </c>
      <c r="V129" s="6">
        <f t="shared" si="31"/>
        <v>334.71069597489708</v>
      </c>
      <c r="W129">
        <v>95</v>
      </c>
      <c r="X129" t="str">
        <f t="shared" si="32"/>
        <v>OK</v>
      </c>
      <c r="Y129" s="6">
        <f t="shared" si="33"/>
        <v>28</v>
      </c>
      <c r="Z129" s="6">
        <f t="shared" si="34"/>
        <v>112</v>
      </c>
    </row>
    <row r="130" spans="1:26" x14ac:dyDescent="0.3">
      <c r="A130" s="3" t="str">
        <f t="shared" ref="A130:A193" si="36">"SKU" &amp; TEXT(ROW()-1, "000")</f>
        <v>SKU129</v>
      </c>
      <c r="B130" s="3">
        <v>919</v>
      </c>
      <c r="C130" s="3">
        <f t="shared" si="20"/>
        <v>1194.7</v>
      </c>
      <c r="D130" s="3">
        <v>93.44</v>
      </c>
      <c r="E130" s="3">
        <v>16</v>
      </c>
      <c r="F130" s="3" t="str" cm="1">
        <f t="array" aca="1" ref="F130" ca="1">INDEX({"Electronics","Clothing","Food","Furniture"}, RANDBETWEEN(1,4))</f>
        <v>Electronics</v>
      </c>
      <c r="G130" s="3">
        <v>50</v>
      </c>
      <c r="H130" s="3">
        <v>2</v>
      </c>
      <c r="I130" s="3">
        <f t="shared" ref="I130:I193" si="37">B130*D130</f>
        <v>85871.360000000001</v>
      </c>
      <c r="J130" s="3">
        <f t="shared" si="35"/>
        <v>15457316.9</v>
      </c>
      <c r="K130" s="4">
        <f t="shared" si="21"/>
        <v>0.5303772535588559</v>
      </c>
      <c r="M130" s="6">
        <f t="shared" si="22"/>
        <v>214.35951110226017</v>
      </c>
      <c r="N130" s="6">
        <f t="shared" si="23"/>
        <v>244.40744669506287</v>
      </c>
      <c r="O130" s="6">
        <f t="shared" si="24"/>
        <v>2.5178082191780824</v>
      </c>
      <c r="P130" s="6">
        <f t="shared" si="25"/>
        <v>40.284931506849318</v>
      </c>
      <c r="Q130" t="str">
        <f t="shared" si="26"/>
        <v>A</v>
      </c>
      <c r="R130" s="6">
        <f t="shared" si="27"/>
        <v>107.17975555113009</v>
      </c>
      <c r="S130" s="6">
        <f t="shared" si="28"/>
        <v>8.5743804440904068</v>
      </c>
      <c r="T130" s="6">
        <f t="shared" si="29"/>
        <v>214.35951110226017</v>
      </c>
      <c r="U130" s="6">
        <f t="shared" si="30"/>
        <v>53.589877775565043</v>
      </c>
      <c r="V130" s="6">
        <f t="shared" si="31"/>
        <v>267.94938887782519</v>
      </c>
      <c r="W130">
        <v>83</v>
      </c>
      <c r="X130" t="str">
        <f t="shared" si="32"/>
        <v>OK</v>
      </c>
      <c r="Y130" s="6">
        <f t="shared" si="33"/>
        <v>21</v>
      </c>
      <c r="Z130" s="6">
        <f t="shared" si="34"/>
        <v>63</v>
      </c>
    </row>
    <row r="131" spans="1:26" x14ac:dyDescent="0.3">
      <c r="A131" s="3" t="str">
        <f t="shared" si="36"/>
        <v>SKU130</v>
      </c>
      <c r="B131" s="3">
        <v>1248</v>
      </c>
      <c r="C131" s="3">
        <f t="shared" ref="C131:C194" si="38">B131 * 1.3</f>
        <v>1622.4</v>
      </c>
      <c r="D131" s="3">
        <v>68.2</v>
      </c>
      <c r="E131" s="3">
        <v>19</v>
      </c>
      <c r="F131" s="3" t="str" cm="1">
        <f t="array" aca="1" ref="F131" ca="1">INDEX({"Electronics","Clothing","Food","Furniture"}, RANDBETWEEN(1,4))</f>
        <v>Clothing</v>
      </c>
      <c r="G131" s="3">
        <v>50</v>
      </c>
      <c r="H131" s="3">
        <v>2</v>
      </c>
      <c r="I131" s="3">
        <f t="shared" si="37"/>
        <v>85113.600000000006</v>
      </c>
      <c r="J131" s="3">
        <f t="shared" si="35"/>
        <v>15542430.5</v>
      </c>
      <c r="K131" s="4">
        <f t="shared" ref="K131:K194" si="39">J131/$L$2</f>
        <v>0.53329770331741055</v>
      </c>
      <c r="M131" s="6">
        <f t="shared" ref="M131:M194" si="40">SQRT((2 * B131 * G131) / H131)</f>
        <v>249.79991993593592</v>
      </c>
      <c r="N131" s="6">
        <f t="shared" ref="N131:N194" si="41">SQRT((2 * C131 * G131) / H131)</f>
        <v>284.81572990268637</v>
      </c>
      <c r="O131" s="6">
        <f t="shared" ref="O131:O194" si="42">B131 / 365</f>
        <v>3.419178082191781</v>
      </c>
      <c r="P131" s="6">
        <f t="shared" ref="P131:P194" si="43">E131*O131</f>
        <v>64.964383561643842</v>
      </c>
      <c r="Q131" t="str">
        <f t="shared" ref="Q131:Q194" si="44">IF(K131 &lt;= 0.8, "A", IF(K131 &lt;= 0.95, "B", "C"))</f>
        <v>A</v>
      </c>
      <c r="R131" s="6">
        <f t="shared" ref="R131:R194" si="45">M131/2</f>
        <v>124.89995996796796</v>
      </c>
      <c r="S131" s="6">
        <f t="shared" ref="S131:S194" si="46">B131/R131</f>
        <v>9.9919967974374373</v>
      </c>
      <c r="T131" s="6">
        <f t="shared" ref="T131:T194" si="47">(B131/M131)*G131</f>
        <v>249.79991993593592</v>
      </c>
      <c r="U131" s="6">
        <f t="shared" ref="U131:U194" si="48">R131/H131</f>
        <v>62.44997998398398</v>
      </c>
      <c r="V131" s="6">
        <f t="shared" ref="V131:V194" si="49">T131+U131</f>
        <v>312.24989991991993</v>
      </c>
      <c r="W131">
        <v>100</v>
      </c>
      <c r="X131" t="str">
        <f t="shared" ref="X131:X194" si="50">IF(W131 &lt; P131, "ALERT", "OK")</f>
        <v>OK</v>
      </c>
      <c r="Y131" s="6">
        <f t="shared" ref="Y131:Y194" si="51">E131 + 5</f>
        <v>24</v>
      </c>
      <c r="Z131" s="6">
        <f t="shared" ref="Z131:Z194" si="52">ROUND(Y131, 0) * ROUND(O131, 0)</f>
        <v>72</v>
      </c>
    </row>
    <row r="132" spans="1:26" x14ac:dyDescent="0.3">
      <c r="A132" s="3" t="str">
        <f t="shared" si="36"/>
        <v>SKU131</v>
      </c>
      <c r="B132" s="3">
        <v>881</v>
      </c>
      <c r="C132" s="3">
        <f t="shared" si="38"/>
        <v>1145.3</v>
      </c>
      <c r="D132" s="3">
        <v>96.54</v>
      </c>
      <c r="E132" s="3">
        <v>2</v>
      </c>
      <c r="F132" s="3" t="str" cm="1">
        <f t="array" aca="1" ref="F132" ca="1">INDEX({"Electronics","Clothing","Food","Furniture"}, RANDBETWEEN(1,4))</f>
        <v>Electronics</v>
      </c>
      <c r="G132" s="3">
        <v>50</v>
      </c>
      <c r="H132" s="3">
        <v>2</v>
      </c>
      <c r="I132" s="3">
        <f t="shared" si="37"/>
        <v>85051.74</v>
      </c>
      <c r="J132" s="3">
        <f t="shared" ref="J132:J195" si="53">SUM(J131+I132)</f>
        <v>15627482.24</v>
      </c>
      <c r="K132" s="4">
        <f t="shared" si="39"/>
        <v>0.53621603051244926</v>
      </c>
      <c r="M132" s="6">
        <f t="shared" si="40"/>
        <v>209.88091861815357</v>
      </c>
      <c r="N132" s="6">
        <f t="shared" si="41"/>
        <v>239.30106560565082</v>
      </c>
      <c r="O132" s="6">
        <f t="shared" si="42"/>
        <v>2.4136986301369863</v>
      </c>
      <c r="P132" s="6">
        <f t="shared" si="43"/>
        <v>4.8273972602739725</v>
      </c>
      <c r="Q132" t="str">
        <f t="shared" si="44"/>
        <v>A</v>
      </c>
      <c r="R132" s="6">
        <f t="shared" si="45"/>
        <v>104.94045930907679</v>
      </c>
      <c r="S132" s="6">
        <f t="shared" si="46"/>
        <v>8.3952367447261427</v>
      </c>
      <c r="T132" s="6">
        <f t="shared" si="47"/>
        <v>209.88091861815357</v>
      </c>
      <c r="U132" s="6">
        <f t="shared" si="48"/>
        <v>52.470229654538393</v>
      </c>
      <c r="V132" s="6">
        <f t="shared" si="49"/>
        <v>262.35114827269194</v>
      </c>
      <c r="W132">
        <v>26</v>
      </c>
      <c r="X132" t="str">
        <f t="shared" si="50"/>
        <v>OK</v>
      </c>
      <c r="Y132" s="6">
        <f t="shared" si="51"/>
        <v>7</v>
      </c>
      <c r="Z132" s="6">
        <f t="shared" si="52"/>
        <v>14</v>
      </c>
    </row>
    <row r="133" spans="1:26" x14ac:dyDescent="0.3">
      <c r="A133" s="3" t="str">
        <f t="shared" si="36"/>
        <v>SKU132</v>
      </c>
      <c r="B133" s="3">
        <v>1290</v>
      </c>
      <c r="C133" s="3">
        <f t="shared" si="38"/>
        <v>1677</v>
      </c>
      <c r="D133" s="3">
        <v>65.59</v>
      </c>
      <c r="E133" s="3">
        <v>15</v>
      </c>
      <c r="F133" s="3" t="str" cm="1">
        <f t="array" aca="1" ref="F133" ca="1">INDEX({"Electronics","Clothing","Food","Furniture"}, RANDBETWEEN(1,4))</f>
        <v>Furniture</v>
      </c>
      <c r="G133" s="3">
        <v>50</v>
      </c>
      <c r="H133" s="3">
        <v>2</v>
      </c>
      <c r="I133" s="3">
        <f t="shared" si="37"/>
        <v>84611.1</v>
      </c>
      <c r="J133" s="3">
        <f t="shared" si="53"/>
        <v>15712093.34</v>
      </c>
      <c r="K133" s="4">
        <f t="shared" si="39"/>
        <v>0.53911923830257957</v>
      </c>
      <c r="M133" s="6">
        <f t="shared" si="40"/>
        <v>253.96850198400588</v>
      </c>
      <c r="N133" s="6">
        <f t="shared" si="41"/>
        <v>289.56864471140517</v>
      </c>
      <c r="O133" s="6">
        <f t="shared" si="42"/>
        <v>3.5342465753424657</v>
      </c>
      <c r="P133" s="6">
        <f t="shared" si="43"/>
        <v>53.013698630136986</v>
      </c>
      <c r="Q133" t="str">
        <f t="shared" si="44"/>
        <v>A</v>
      </c>
      <c r="R133" s="6">
        <f t="shared" si="45"/>
        <v>126.98425099200294</v>
      </c>
      <c r="S133" s="6">
        <f t="shared" si="46"/>
        <v>10.158740079360236</v>
      </c>
      <c r="T133" s="6">
        <f t="shared" si="47"/>
        <v>253.96850198400588</v>
      </c>
      <c r="U133" s="6">
        <f t="shared" si="48"/>
        <v>63.492125496001471</v>
      </c>
      <c r="V133" s="6">
        <f t="shared" si="49"/>
        <v>317.46062748000736</v>
      </c>
      <c r="W133">
        <v>11</v>
      </c>
      <c r="X133" t="str">
        <f t="shared" si="50"/>
        <v>ALERT</v>
      </c>
      <c r="Y133" s="6">
        <f t="shared" si="51"/>
        <v>20</v>
      </c>
      <c r="Z133" s="6">
        <f t="shared" si="52"/>
        <v>80</v>
      </c>
    </row>
    <row r="134" spans="1:26" x14ac:dyDescent="0.3">
      <c r="A134" s="3" t="str">
        <f t="shared" si="36"/>
        <v>SKU133</v>
      </c>
      <c r="B134" s="3">
        <v>1842</v>
      </c>
      <c r="C134" s="3">
        <f t="shared" si="38"/>
        <v>2394.6</v>
      </c>
      <c r="D134" s="3">
        <v>45.77</v>
      </c>
      <c r="E134" s="3">
        <v>29</v>
      </c>
      <c r="F134" s="3" t="str" cm="1">
        <f t="array" aca="1" ref="F134" ca="1">INDEX({"Electronics","Clothing","Food","Furniture"}, RANDBETWEEN(1,4))</f>
        <v>Electronics</v>
      </c>
      <c r="G134" s="3">
        <v>50</v>
      </c>
      <c r="H134" s="3">
        <v>2</v>
      </c>
      <c r="I134" s="3">
        <f t="shared" si="37"/>
        <v>84308.340000000011</v>
      </c>
      <c r="J134" s="3">
        <f t="shared" si="53"/>
        <v>15796401.68</v>
      </c>
      <c r="K134" s="4">
        <f t="shared" si="39"/>
        <v>0.54201205767806293</v>
      </c>
      <c r="M134" s="6">
        <f t="shared" si="40"/>
        <v>303.47981810987034</v>
      </c>
      <c r="N134" s="6">
        <f t="shared" si="41"/>
        <v>346.02023062243052</v>
      </c>
      <c r="O134" s="6">
        <f t="shared" si="42"/>
        <v>5.0465753424657533</v>
      </c>
      <c r="P134" s="6">
        <f t="shared" si="43"/>
        <v>146.35068493150683</v>
      </c>
      <c r="Q134" t="str">
        <f t="shared" si="44"/>
        <v>A</v>
      </c>
      <c r="R134" s="6">
        <f t="shared" si="45"/>
        <v>151.73990905493517</v>
      </c>
      <c r="S134" s="6">
        <f t="shared" si="46"/>
        <v>12.139192724394816</v>
      </c>
      <c r="T134" s="6">
        <f t="shared" si="47"/>
        <v>303.47981810987039</v>
      </c>
      <c r="U134" s="6">
        <f t="shared" si="48"/>
        <v>75.869954527467584</v>
      </c>
      <c r="V134" s="6">
        <f t="shared" si="49"/>
        <v>379.34977263733799</v>
      </c>
      <c r="W134">
        <v>180</v>
      </c>
      <c r="X134" t="str">
        <f t="shared" si="50"/>
        <v>OK</v>
      </c>
      <c r="Y134" s="6">
        <f t="shared" si="51"/>
        <v>34</v>
      </c>
      <c r="Z134" s="6">
        <f t="shared" si="52"/>
        <v>170</v>
      </c>
    </row>
    <row r="135" spans="1:26" x14ac:dyDescent="0.3">
      <c r="A135" s="3" t="str">
        <f t="shared" si="36"/>
        <v>SKU134</v>
      </c>
      <c r="B135" s="3">
        <v>1838</v>
      </c>
      <c r="C135" s="3">
        <f t="shared" si="38"/>
        <v>2389.4</v>
      </c>
      <c r="D135" s="3">
        <v>45.77</v>
      </c>
      <c r="E135" s="3">
        <v>20</v>
      </c>
      <c r="F135" s="3" t="str" cm="1">
        <f t="array" aca="1" ref="F135" ca="1">INDEX({"Electronics","Clothing","Food","Furniture"}, RANDBETWEEN(1,4))</f>
        <v>Food</v>
      </c>
      <c r="G135" s="3">
        <v>50</v>
      </c>
      <c r="H135" s="3">
        <v>2</v>
      </c>
      <c r="I135" s="3">
        <f t="shared" si="37"/>
        <v>84125.260000000009</v>
      </c>
      <c r="J135" s="3">
        <f t="shared" si="53"/>
        <v>15880526.939999999</v>
      </c>
      <c r="K135" s="4">
        <f t="shared" si="39"/>
        <v>0.54489859514393613</v>
      </c>
      <c r="M135" s="6">
        <f t="shared" si="40"/>
        <v>303.15012782448235</v>
      </c>
      <c r="N135" s="6">
        <f t="shared" si="41"/>
        <v>345.64432586113719</v>
      </c>
      <c r="O135" s="6">
        <f t="shared" si="42"/>
        <v>5.0356164383561648</v>
      </c>
      <c r="P135" s="6">
        <f t="shared" si="43"/>
        <v>100.7123287671233</v>
      </c>
      <c r="Q135" t="str">
        <f t="shared" si="44"/>
        <v>A</v>
      </c>
      <c r="R135" s="6">
        <f t="shared" si="45"/>
        <v>151.57506391224118</v>
      </c>
      <c r="S135" s="6">
        <f t="shared" si="46"/>
        <v>12.126005112979296</v>
      </c>
      <c r="T135" s="6">
        <f t="shared" si="47"/>
        <v>303.15012782448241</v>
      </c>
      <c r="U135" s="6">
        <f t="shared" si="48"/>
        <v>75.787531956120588</v>
      </c>
      <c r="V135" s="6">
        <f t="shared" si="49"/>
        <v>378.93765978060298</v>
      </c>
      <c r="W135">
        <v>88</v>
      </c>
      <c r="X135" t="str">
        <f t="shared" si="50"/>
        <v>ALERT</v>
      </c>
      <c r="Y135" s="6">
        <f t="shared" si="51"/>
        <v>25</v>
      </c>
      <c r="Z135" s="6">
        <f t="shared" si="52"/>
        <v>125</v>
      </c>
    </row>
    <row r="136" spans="1:26" x14ac:dyDescent="0.3">
      <c r="A136" s="3" t="str">
        <f t="shared" si="36"/>
        <v>SKU135</v>
      </c>
      <c r="B136" s="3">
        <v>1036</v>
      </c>
      <c r="C136" s="3">
        <f t="shared" si="38"/>
        <v>1346.8</v>
      </c>
      <c r="D136" s="3">
        <v>80.88</v>
      </c>
      <c r="E136" s="3">
        <v>15</v>
      </c>
      <c r="F136" s="3" t="str" cm="1">
        <f t="array" aca="1" ref="F136" ca="1">INDEX({"Electronics","Clothing","Food","Furniture"}, RANDBETWEEN(1,4))</f>
        <v>Clothing</v>
      </c>
      <c r="G136" s="3">
        <v>50</v>
      </c>
      <c r="H136" s="3">
        <v>2</v>
      </c>
      <c r="I136" s="3">
        <f t="shared" si="37"/>
        <v>83791.679999999993</v>
      </c>
      <c r="J136" s="3">
        <f t="shared" si="53"/>
        <v>15964318.619999999</v>
      </c>
      <c r="K136" s="4">
        <f t="shared" si="39"/>
        <v>0.5477736866877656</v>
      </c>
      <c r="M136" s="6">
        <f t="shared" si="40"/>
        <v>227.59613353482084</v>
      </c>
      <c r="N136" s="6">
        <f t="shared" si="41"/>
        <v>259.49951830398453</v>
      </c>
      <c r="O136" s="6">
        <f t="shared" si="42"/>
        <v>2.8383561643835615</v>
      </c>
      <c r="P136" s="6">
        <f t="shared" si="43"/>
        <v>42.575342465753423</v>
      </c>
      <c r="Q136" t="str">
        <f t="shared" si="44"/>
        <v>A</v>
      </c>
      <c r="R136" s="6">
        <f t="shared" si="45"/>
        <v>113.79806676741042</v>
      </c>
      <c r="S136" s="6">
        <f t="shared" si="46"/>
        <v>9.1038453413928337</v>
      </c>
      <c r="T136" s="6">
        <f t="shared" si="47"/>
        <v>227.59613353482084</v>
      </c>
      <c r="U136" s="6">
        <f t="shared" si="48"/>
        <v>56.899033383705209</v>
      </c>
      <c r="V136" s="6">
        <f t="shared" si="49"/>
        <v>284.49516691852602</v>
      </c>
      <c r="W136">
        <v>81</v>
      </c>
      <c r="X136" t="str">
        <f t="shared" si="50"/>
        <v>OK</v>
      </c>
      <c r="Y136" s="6">
        <f t="shared" si="51"/>
        <v>20</v>
      </c>
      <c r="Z136" s="6">
        <f t="shared" si="52"/>
        <v>60</v>
      </c>
    </row>
    <row r="137" spans="1:26" x14ac:dyDescent="0.3">
      <c r="A137" s="3" t="str">
        <f t="shared" si="36"/>
        <v>SKU136</v>
      </c>
      <c r="B137" s="3">
        <v>1680</v>
      </c>
      <c r="C137" s="3">
        <f t="shared" si="38"/>
        <v>2184</v>
      </c>
      <c r="D137" s="3">
        <v>49.77</v>
      </c>
      <c r="E137" s="3">
        <v>25</v>
      </c>
      <c r="F137" s="3" t="str" cm="1">
        <f t="array" aca="1" ref="F137" ca="1">INDEX({"Electronics","Clothing","Food","Furniture"}, RANDBETWEEN(1,4))</f>
        <v>Electronics</v>
      </c>
      <c r="G137" s="3">
        <v>50</v>
      </c>
      <c r="H137" s="3">
        <v>2</v>
      </c>
      <c r="I137" s="3">
        <f t="shared" si="37"/>
        <v>83613.600000000006</v>
      </c>
      <c r="J137" s="3">
        <f t="shared" si="53"/>
        <v>16047932.219999999</v>
      </c>
      <c r="K137" s="4">
        <f t="shared" si="39"/>
        <v>0.55064266788385974</v>
      </c>
      <c r="M137" s="6">
        <f t="shared" si="40"/>
        <v>289.82753492378879</v>
      </c>
      <c r="N137" s="6">
        <f t="shared" si="41"/>
        <v>330.4542328371661</v>
      </c>
      <c r="O137" s="6">
        <f t="shared" si="42"/>
        <v>4.602739726027397</v>
      </c>
      <c r="P137" s="6">
        <f t="shared" si="43"/>
        <v>115.06849315068493</v>
      </c>
      <c r="Q137" t="str">
        <f t="shared" si="44"/>
        <v>A</v>
      </c>
      <c r="R137" s="6">
        <f t="shared" si="45"/>
        <v>144.91376746189439</v>
      </c>
      <c r="S137" s="6">
        <f t="shared" si="46"/>
        <v>11.59310139695155</v>
      </c>
      <c r="T137" s="6">
        <f t="shared" si="47"/>
        <v>289.82753492378873</v>
      </c>
      <c r="U137" s="6">
        <f t="shared" si="48"/>
        <v>72.456883730947197</v>
      </c>
      <c r="V137" s="6">
        <f t="shared" si="49"/>
        <v>362.28441865473593</v>
      </c>
      <c r="W137">
        <v>121</v>
      </c>
      <c r="X137" t="str">
        <f t="shared" si="50"/>
        <v>OK</v>
      </c>
      <c r="Y137" s="6">
        <f t="shared" si="51"/>
        <v>30</v>
      </c>
      <c r="Z137" s="6">
        <f t="shared" si="52"/>
        <v>150</v>
      </c>
    </row>
    <row r="138" spans="1:26" x14ac:dyDescent="0.3">
      <c r="A138" s="3" t="str">
        <f t="shared" si="36"/>
        <v>SKU137</v>
      </c>
      <c r="B138" s="3">
        <v>958</v>
      </c>
      <c r="C138" s="3">
        <f t="shared" si="38"/>
        <v>1245.4000000000001</v>
      </c>
      <c r="D138" s="3">
        <v>87.15</v>
      </c>
      <c r="E138" s="3">
        <v>15</v>
      </c>
      <c r="F138" s="3" t="str" cm="1">
        <f t="array" aca="1" ref="F138" ca="1">INDEX({"Electronics","Clothing","Food","Furniture"}, RANDBETWEEN(1,4))</f>
        <v>Clothing</v>
      </c>
      <c r="G138" s="3">
        <v>50</v>
      </c>
      <c r="H138" s="3">
        <v>2</v>
      </c>
      <c r="I138" s="3">
        <f t="shared" si="37"/>
        <v>83489.700000000012</v>
      </c>
      <c r="J138" s="3">
        <f t="shared" si="53"/>
        <v>16131421.919999998</v>
      </c>
      <c r="K138" s="4">
        <f t="shared" si="39"/>
        <v>0.55350739777669467</v>
      </c>
      <c r="M138" s="6">
        <f t="shared" si="40"/>
        <v>218.86068628239289</v>
      </c>
      <c r="N138" s="6">
        <f t="shared" si="41"/>
        <v>249.5395760195164</v>
      </c>
      <c r="O138" s="6">
        <f t="shared" si="42"/>
        <v>2.6246575342465754</v>
      </c>
      <c r="P138" s="6">
        <f t="shared" si="43"/>
        <v>39.369863013698634</v>
      </c>
      <c r="Q138" t="str">
        <f t="shared" si="44"/>
        <v>A</v>
      </c>
      <c r="R138" s="6">
        <f t="shared" si="45"/>
        <v>109.43034314119645</v>
      </c>
      <c r="S138" s="6">
        <f t="shared" si="46"/>
        <v>8.7544274512957152</v>
      </c>
      <c r="T138" s="6">
        <f t="shared" si="47"/>
        <v>218.86068628239289</v>
      </c>
      <c r="U138" s="6">
        <f t="shared" si="48"/>
        <v>54.715171570598223</v>
      </c>
      <c r="V138" s="6">
        <f t="shared" si="49"/>
        <v>273.57585785299113</v>
      </c>
      <c r="W138">
        <v>59</v>
      </c>
      <c r="X138" t="str">
        <f t="shared" si="50"/>
        <v>OK</v>
      </c>
      <c r="Y138" s="6">
        <f t="shared" si="51"/>
        <v>20</v>
      </c>
      <c r="Z138" s="6">
        <f t="shared" si="52"/>
        <v>60</v>
      </c>
    </row>
    <row r="139" spans="1:26" x14ac:dyDescent="0.3">
      <c r="A139" s="3" t="str">
        <f t="shared" si="36"/>
        <v>SKU138</v>
      </c>
      <c r="B139" s="3">
        <v>1010</v>
      </c>
      <c r="C139" s="3">
        <f t="shared" si="38"/>
        <v>1313</v>
      </c>
      <c r="D139" s="3">
        <v>82.14</v>
      </c>
      <c r="E139" s="3">
        <v>8</v>
      </c>
      <c r="F139" s="3" t="str" cm="1">
        <f t="array" aca="1" ref="F139" ca="1">INDEX({"Electronics","Clothing","Food","Furniture"}, RANDBETWEEN(1,4))</f>
        <v>Food</v>
      </c>
      <c r="G139" s="3">
        <v>50</v>
      </c>
      <c r="H139" s="3">
        <v>2</v>
      </c>
      <c r="I139" s="3">
        <f t="shared" si="37"/>
        <v>82961.399999999994</v>
      </c>
      <c r="J139" s="3">
        <f t="shared" si="53"/>
        <v>16214383.319999998</v>
      </c>
      <c r="K139" s="4">
        <f t="shared" si="39"/>
        <v>0.55635400044183114</v>
      </c>
      <c r="M139" s="6">
        <f t="shared" si="40"/>
        <v>224.72205054244233</v>
      </c>
      <c r="N139" s="6">
        <f t="shared" si="41"/>
        <v>256.22255950637913</v>
      </c>
      <c r="O139" s="6">
        <f t="shared" si="42"/>
        <v>2.7671232876712328</v>
      </c>
      <c r="P139" s="6">
        <f t="shared" si="43"/>
        <v>22.136986301369863</v>
      </c>
      <c r="Q139" t="str">
        <f t="shared" si="44"/>
        <v>A</v>
      </c>
      <c r="R139" s="6">
        <f t="shared" si="45"/>
        <v>112.36102527122117</v>
      </c>
      <c r="S139" s="6">
        <f t="shared" si="46"/>
        <v>8.9888820216976928</v>
      </c>
      <c r="T139" s="6">
        <f t="shared" si="47"/>
        <v>224.72205054244233</v>
      </c>
      <c r="U139" s="6">
        <f t="shared" si="48"/>
        <v>56.180512635610583</v>
      </c>
      <c r="V139" s="6">
        <f t="shared" si="49"/>
        <v>280.9025631780529</v>
      </c>
      <c r="W139">
        <v>48</v>
      </c>
      <c r="X139" t="str">
        <f t="shared" si="50"/>
        <v>OK</v>
      </c>
      <c r="Y139" s="6">
        <f t="shared" si="51"/>
        <v>13</v>
      </c>
      <c r="Z139" s="6">
        <f t="shared" si="52"/>
        <v>39</v>
      </c>
    </row>
    <row r="140" spans="1:26" x14ac:dyDescent="0.3">
      <c r="A140" s="3" t="str">
        <f t="shared" si="36"/>
        <v>SKU139</v>
      </c>
      <c r="B140" s="3">
        <v>869</v>
      </c>
      <c r="C140" s="3">
        <f t="shared" si="38"/>
        <v>1129.7</v>
      </c>
      <c r="D140" s="3">
        <v>95.34</v>
      </c>
      <c r="E140" s="3">
        <v>25</v>
      </c>
      <c r="F140" s="3" t="str" cm="1">
        <f t="array" aca="1" ref="F140" ca="1">INDEX({"Electronics","Clothing","Food","Furniture"}, RANDBETWEEN(1,4))</f>
        <v>Furniture</v>
      </c>
      <c r="G140" s="3">
        <v>50</v>
      </c>
      <c r="H140" s="3">
        <v>2</v>
      </c>
      <c r="I140" s="3">
        <f t="shared" si="37"/>
        <v>82850.460000000006</v>
      </c>
      <c r="J140" s="3">
        <f t="shared" si="53"/>
        <v>16297233.779999999</v>
      </c>
      <c r="K140" s="4">
        <f t="shared" si="39"/>
        <v>0.55919679649208798</v>
      </c>
      <c r="M140" s="6">
        <f t="shared" si="40"/>
        <v>208.44663585675832</v>
      </c>
      <c r="N140" s="6">
        <f t="shared" si="41"/>
        <v>237.66573164846463</v>
      </c>
      <c r="O140" s="6">
        <f t="shared" si="42"/>
        <v>2.3808219178082193</v>
      </c>
      <c r="P140" s="6">
        <f t="shared" si="43"/>
        <v>59.520547945205479</v>
      </c>
      <c r="Q140" t="str">
        <f t="shared" si="44"/>
        <v>A</v>
      </c>
      <c r="R140" s="6">
        <f t="shared" si="45"/>
        <v>104.22331792837916</v>
      </c>
      <c r="S140" s="6">
        <f t="shared" si="46"/>
        <v>8.3378654342703324</v>
      </c>
      <c r="T140" s="6">
        <f t="shared" si="47"/>
        <v>208.44663585675832</v>
      </c>
      <c r="U140" s="6">
        <f t="shared" si="48"/>
        <v>52.11165896418958</v>
      </c>
      <c r="V140" s="6">
        <f t="shared" si="49"/>
        <v>260.55829482094788</v>
      </c>
      <c r="W140">
        <v>104</v>
      </c>
      <c r="X140" t="str">
        <f t="shared" si="50"/>
        <v>OK</v>
      </c>
      <c r="Y140" s="6">
        <f t="shared" si="51"/>
        <v>30</v>
      </c>
      <c r="Z140" s="6">
        <f t="shared" si="52"/>
        <v>60</v>
      </c>
    </row>
    <row r="141" spans="1:26" x14ac:dyDescent="0.3">
      <c r="A141" s="3" t="str">
        <f t="shared" si="36"/>
        <v>SKU140</v>
      </c>
      <c r="B141" s="3">
        <v>1570</v>
      </c>
      <c r="C141" s="3">
        <f t="shared" si="38"/>
        <v>2041</v>
      </c>
      <c r="D141" s="3">
        <v>52.68</v>
      </c>
      <c r="E141" s="3">
        <v>8</v>
      </c>
      <c r="F141" s="3" t="str" cm="1">
        <f t="array" aca="1" ref="F141" ca="1">INDEX({"Electronics","Clothing","Food","Furniture"}, RANDBETWEEN(1,4))</f>
        <v>Electronics</v>
      </c>
      <c r="G141" s="3">
        <v>50</v>
      </c>
      <c r="H141" s="3">
        <v>2</v>
      </c>
      <c r="I141" s="3">
        <f t="shared" si="37"/>
        <v>82707.600000000006</v>
      </c>
      <c r="J141" s="3">
        <f t="shared" si="53"/>
        <v>16379941.379999999</v>
      </c>
      <c r="K141" s="4">
        <f t="shared" si="39"/>
        <v>0.56203469067645595</v>
      </c>
      <c r="M141" s="6">
        <f t="shared" si="40"/>
        <v>280.17851452243798</v>
      </c>
      <c r="N141" s="6">
        <f t="shared" si="41"/>
        <v>319.45265689926578</v>
      </c>
      <c r="O141" s="6">
        <f t="shared" si="42"/>
        <v>4.3013698630136989</v>
      </c>
      <c r="P141" s="6">
        <f t="shared" si="43"/>
        <v>34.410958904109592</v>
      </c>
      <c r="Q141" t="str">
        <f t="shared" si="44"/>
        <v>A</v>
      </c>
      <c r="R141" s="6">
        <f t="shared" si="45"/>
        <v>140.08925726121899</v>
      </c>
      <c r="S141" s="6">
        <f t="shared" si="46"/>
        <v>11.207140580897521</v>
      </c>
      <c r="T141" s="6">
        <f t="shared" si="47"/>
        <v>280.17851452243804</v>
      </c>
      <c r="U141" s="6">
        <f t="shared" si="48"/>
        <v>70.044628630609495</v>
      </c>
      <c r="V141" s="6">
        <f t="shared" si="49"/>
        <v>350.22314315304754</v>
      </c>
      <c r="W141">
        <v>6</v>
      </c>
      <c r="X141" t="str">
        <f t="shared" si="50"/>
        <v>ALERT</v>
      </c>
      <c r="Y141" s="6">
        <f t="shared" si="51"/>
        <v>13</v>
      </c>
      <c r="Z141" s="6">
        <f t="shared" si="52"/>
        <v>52</v>
      </c>
    </row>
    <row r="142" spans="1:26" x14ac:dyDescent="0.3">
      <c r="A142" s="3" t="str">
        <f t="shared" si="36"/>
        <v>SKU141</v>
      </c>
      <c r="B142" s="3">
        <v>1078</v>
      </c>
      <c r="C142" s="3">
        <f t="shared" si="38"/>
        <v>1401.4</v>
      </c>
      <c r="D142" s="3">
        <v>76.38</v>
      </c>
      <c r="E142" s="3">
        <v>16</v>
      </c>
      <c r="F142" s="3" t="str" cm="1">
        <f t="array" aca="1" ref="F142" ca="1">INDEX({"Electronics","Clothing","Food","Furniture"}, RANDBETWEEN(1,4))</f>
        <v>Food</v>
      </c>
      <c r="G142" s="3">
        <v>50</v>
      </c>
      <c r="H142" s="3">
        <v>2</v>
      </c>
      <c r="I142" s="3">
        <f t="shared" si="37"/>
        <v>82337.64</v>
      </c>
      <c r="J142" s="3">
        <f t="shared" si="53"/>
        <v>16462279.02</v>
      </c>
      <c r="K142" s="4">
        <f t="shared" si="39"/>
        <v>0.56485989065457887</v>
      </c>
      <c r="M142" s="6">
        <f t="shared" si="40"/>
        <v>232.16373532487799</v>
      </c>
      <c r="N142" s="6">
        <f t="shared" si="41"/>
        <v>264.70738561664649</v>
      </c>
      <c r="O142" s="6">
        <f t="shared" si="42"/>
        <v>2.9534246575342467</v>
      </c>
      <c r="P142" s="6">
        <f t="shared" si="43"/>
        <v>47.254794520547946</v>
      </c>
      <c r="Q142" t="str">
        <f t="shared" si="44"/>
        <v>A</v>
      </c>
      <c r="R142" s="6">
        <f t="shared" si="45"/>
        <v>116.081867662439</v>
      </c>
      <c r="S142" s="6">
        <f t="shared" si="46"/>
        <v>9.2865494129951198</v>
      </c>
      <c r="T142" s="6">
        <f t="shared" si="47"/>
        <v>232.16373532487799</v>
      </c>
      <c r="U142" s="6">
        <f t="shared" si="48"/>
        <v>58.040933831219498</v>
      </c>
      <c r="V142" s="6">
        <f t="shared" si="49"/>
        <v>290.20466915609751</v>
      </c>
      <c r="W142">
        <v>74</v>
      </c>
      <c r="X142" t="str">
        <f t="shared" si="50"/>
        <v>OK</v>
      </c>
      <c r="Y142" s="6">
        <f t="shared" si="51"/>
        <v>21</v>
      </c>
      <c r="Z142" s="6">
        <f t="shared" si="52"/>
        <v>63</v>
      </c>
    </row>
    <row r="143" spans="1:26" x14ac:dyDescent="0.3">
      <c r="A143" s="3" t="str">
        <f t="shared" si="36"/>
        <v>SKU142</v>
      </c>
      <c r="B143" s="3">
        <v>1301</v>
      </c>
      <c r="C143" s="3">
        <f t="shared" si="38"/>
        <v>1691.3</v>
      </c>
      <c r="D143" s="3">
        <v>63.26</v>
      </c>
      <c r="E143" s="3">
        <v>2</v>
      </c>
      <c r="F143" s="3" t="str" cm="1">
        <f t="array" aca="1" ref="F143" ca="1">INDEX({"Electronics","Clothing","Food","Furniture"}, RANDBETWEEN(1,4))</f>
        <v>Clothing</v>
      </c>
      <c r="G143" s="3">
        <v>50</v>
      </c>
      <c r="H143" s="3">
        <v>2</v>
      </c>
      <c r="I143" s="3">
        <f t="shared" si="37"/>
        <v>82301.259999999995</v>
      </c>
      <c r="J143" s="3">
        <f t="shared" si="53"/>
        <v>16544580.279999999</v>
      </c>
      <c r="K143" s="4">
        <f t="shared" si="39"/>
        <v>0.56768384234850011</v>
      </c>
      <c r="M143" s="6">
        <f t="shared" si="40"/>
        <v>255.04901489713697</v>
      </c>
      <c r="N143" s="6">
        <f t="shared" si="41"/>
        <v>290.80061898145954</v>
      </c>
      <c r="O143" s="6">
        <f t="shared" si="42"/>
        <v>3.5643835616438357</v>
      </c>
      <c r="P143" s="6">
        <f t="shared" si="43"/>
        <v>7.1287671232876715</v>
      </c>
      <c r="Q143" t="str">
        <f t="shared" si="44"/>
        <v>A</v>
      </c>
      <c r="R143" s="6">
        <f t="shared" si="45"/>
        <v>127.52450744856849</v>
      </c>
      <c r="S143" s="6">
        <f t="shared" si="46"/>
        <v>10.201960595885479</v>
      </c>
      <c r="T143" s="6">
        <f t="shared" si="47"/>
        <v>255.04901489713697</v>
      </c>
      <c r="U143" s="6">
        <f t="shared" si="48"/>
        <v>63.762253724284243</v>
      </c>
      <c r="V143" s="6">
        <f t="shared" si="49"/>
        <v>318.81126862142122</v>
      </c>
      <c r="W143">
        <v>51</v>
      </c>
      <c r="X143" t="str">
        <f t="shared" si="50"/>
        <v>OK</v>
      </c>
      <c r="Y143" s="6">
        <f t="shared" si="51"/>
        <v>7</v>
      </c>
      <c r="Z143" s="6">
        <f t="shared" si="52"/>
        <v>28</v>
      </c>
    </row>
    <row r="144" spans="1:26" x14ac:dyDescent="0.3">
      <c r="A144" s="3" t="str">
        <f t="shared" si="36"/>
        <v>SKU143</v>
      </c>
      <c r="B144" s="3">
        <v>1121</v>
      </c>
      <c r="C144" s="3">
        <f t="shared" si="38"/>
        <v>1457.3</v>
      </c>
      <c r="D144" s="3">
        <v>72.55</v>
      </c>
      <c r="E144" s="3">
        <v>3</v>
      </c>
      <c r="F144" s="3" t="str" cm="1">
        <f t="array" aca="1" ref="F144" ca="1">INDEX({"Electronics","Clothing","Food","Furniture"}, RANDBETWEEN(1,4))</f>
        <v>Electronics</v>
      </c>
      <c r="G144" s="3">
        <v>50</v>
      </c>
      <c r="H144" s="3">
        <v>2</v>
      </c>
      <c r="I144" s="3">
        <f t="shared" si="37"/>
        <v>81328.55</v>
      </c>
      <c r="J144" s="3">
        <f t="shared" si="53"/>
        <v>16625908.83</v>
      </c>
      <c r="K144" s="4">
        <f t="shared" si="39"/>
        <v>0.57047441805216093</v>
      </c>
      <c r="M144" s="6">
        <f t="shared" si="40"/>
        <v>236.74881203503429</v>
      </c>
      <c r="N144" s="6">
        <f t="shared" si="41"/>
        <v>269.93517740376114</v>
      </c>
      <c r="O144" s="6">
        <f t="shared" si="42"/>
        <v>3.0712328767123287</v>
      </c>
      <c r="P144" s="6">
        <f t="shared" si="43"/>
        <v>9.2136986301369852</v>
      </c>
      <c r="Q144" t="str">
        <f t="shared" si="44"/>
        <v>A</v>
      </c>
      <c r="R144" s="6">
        <f t="shared" si="45"/>
        <v>118.37440601751715</v>
      </c>
      <c r="S144" s="6">
        <f t="shared" si="46"/>
        <v>9.4699524814013714</v>
      </c>
      <c r="T144" s="6">
        <f t="shared" si="47"/>
        <v>236.74881203503429</v>
      </c>
      <c r="U144" s="6">
        <f t="shared" si="48"/>
        <v>59.187203008758573</v>
      </c>
      <c r="V144" s="6">
        <f t="shared" si="49"/>
        <v>295.93601504379285</v>
      </c>
      <c r="W144">
        <v>4</v>
      </c>
      <c r="X144" t="str">
        <f t="shared" si="50"/>
        <v>ALERT</v>
      </c>
      <c r="Y144" s="6">
        <f t="shared" si="51"/>
        <v>8</v>
      </c>
      <c r="Z144" s="6">
        <f t="shared" si="52"/>
        <v>24</v>
      </c>
    </row>
    <row r="145" spans="1:26" x14ac:dyDescent="0.3">
      <c r="A145" s="3" t="str">
        <f t="shared" si="36"/>
        <v>SKU144</v>
      </c>
      <c r="B145" s="3">
        <v>1531</v>
      </c>
      <c r="C145" s="3">
        <f t="shared" si="38"/>
        <v>1990.3</v>
      </c>
      <c r="D145" s="3">
        <v>53.02</v>
      </c>
      <c r="E145" s="3">
        <v>2</v>
      </c>
      <c r="F145" s="3" t="str" cm="1">
        <f t="array" aca="1" ref="F145" ca="1">INDEX({"Electronics","Clothing","Food","Furniture"}, RANDBETWEEN(1,4))</f>
        <v>Furniture</v>
      </c>
      <c r="G145" s="3">
        <v>50</v>
      </c>
      <c r="H145" s="3">
        <v>2</v>
      </c>
      <c r="I145" s="3">
        <f t="shared" si="37"/>
        <v>81173.62000000001</v>
      </c>
      <c r="J145" s="3">
        <f t="shared" si="53"/>
        <v>16707082.449999999</v>
      </c>
      <c r="K145" s="4">
        <f t="shared" si="39"/>
        <v>0.57325967773956688</v>
      </c>
      <c r="M145" s="6">
        <f t="shared" si="40"/>
        <v>276.67670664513844</v>
      </c>
      <c r="N145" s="6">
        <f t="shared" si="41"/>
        <v>315.45998161415025</v>
      </c>
      <c r="O145" s="6">
        <f t="shared" si="42"/>
        <v>4.1945205479452055</v>
      </c>
      <c r="P145" s="6">
        <f t="shared" si="43"/>
        <v>8.3890410958904109</v>
      </c>
      <c r="Q145" t="str">
        <f t="shared" si="44"/>
        <v>A</v>
      </c>
      <c r="R145" s="6">
        <f t="shared" si="45"/>
        <v>138.33835332256922</v>
      </c>
      <c r="S145" s="6">
        <f t="shared" si="46"/>
        <v>11.067068265805538</v>
      </c>
      <c r="T145" s="6">
        <f t="shared" si="47"/>
        <v>276.67670664513844</v>
      </c>
      <c r="U145" s="6">
        <f t="shared" si="48"/>
        <v>69.16917666128461</v>
      </c>
      <c r="V145" s="6">
        <f t="shared" si="49"/>
        <v>345.84588330642305</v>
      </c>
      <c r="W145">
        <v>13</v>
      </c>
      <c r="X145" t="str">
        <f t="shared" si="50"/>
        <v>OK</v>
      </c>
      <c r="Y145" s="6">
        <f t="shared" si="51"/>
        <v>7</v>
      </c>
      <c r="Z145" s="6">
        <f t="shared" si="52"/>
        <v>28</v>
      </c>
    </row>
    <row r="146" spans="1:26" x14ac:dyDescent="0.3">
      <c r="A146" s="3" t="str">
        <f t="shared" si="36"/>
        <v>SKU145</v>
      </c>
      <c r="B146" s="3">
        <v>1695</v>
      </c>
      <c r="C146" s="3">
        <f t="shared" si="38"/>
        <v>2203.5</v>
      </c>
      <c r="D146" s="3">
        <v>47.89</v>
      </c>
      <c r="E146" s="3">
        <v>9</v>
      </c>
      <c r="F146" s="3" t="str" cm="1">
        <f t="array" aca="1" ref="F146" ca="1">INDEX({"Electronics","Clothing","Food","Furniture"}, RANDBETWEEN(1,4))</f>
        <v>Electronics</v>
      </c>
      <c r="G146" s="3">
        <v>50</v>
      </c>
      <c r="H146" s="3">
        <v>2</v>
      </c>
      <c r="I146" s="3">
        <f t="shared" si="37"/>
        <v>81173.55</v>
      </c>
      <c r="J146" s="3">
        <f t="shared" si="53"/>
        <v>16788256</v>
      </c>
      <c r="K146" s="4">
        <f t="shared" si="39"/>
        <v>0.57604493502510679</v>
      </c>
      <c r="M146" s="6">
        <f t="shared" si="40"/>
        <v>291.11853256019276</v>
      </c>
      <c r="N146" s="6">
        <f t="shared" si="41"/>
        <v>331.92619661605499</v>
      </c>
      <c r="O146" s="6">
        <f t="shared" si="42"/>
        <v>4.6438356164383565</v>
      </c>
      <c r="P146" s="6">
        <f t="shared" si="43"/>
        <v>41.794520547945211</v>
      </c>
      <c r="Q146" t="str">
        <f t="shared" si="44"/>
        <v>A</v>
      </c>
      <c r="R146" s="6">
        <f t="shared" si="45"/>
        <v>145.55926628009638</v>
      </c>
      <c r="S146" s="6">
        <f t="shared" si="46"/>
        <v>11.644741302407709</v>
      </c>
      <c r="T146" s="6">
        <f t="shared" si="47"/>
        <v>291.11853256019276</v>
      </c>
      <c r="U146" s="6">
        <f t="shared" si="48"/>
        <v>72.77963314004819</v>
      </c>
      <c r="V146" s="6">
        <f t="shared" si="49"/>
        <v>363.89816570024095</v>
      </c>
      <c r="W146">
        <v>61</v>
      </c>
      <c r="X146" t="str">
        <f t="shared" si="50"/>
        <v>OK</v>
      </c>
      <c r="Y146" s="6">
        <f t="shared" si="51"/>
        <v>14</v>
      </c>
      <c r="Z146" s="6">
        <f t="shared" si="52"/>
        <v>70</v>
      </c>
    </row>
    <row r="147" spans="1:26" x14ac:dyDescent="0.3">
      <c r="A147" s="3" t="str">
        <f t="shared" si="36"/>
        <v>SKU146</v>
      </c>
      <c r="B147" s="3">
        <v>820</v>
      </c>
      <c r="C147" s="3">
        <f t="shared" si="38"/>
        <v>1066</v>
      </c>
      <c r="D147" s="3">
        <v>98.89</v>
      </c>
      <c r="E147" s="3">
        <v>12</v>
      </c>
      <c r="F147" s="3" t="str" cm="1">
        <f t="array" aca="1" ref="F147" ca="1">INDEX({"Electronics","Clothing","Food","Furniture"}, RANDBETWEEN(1,4))</f>
        <v>Furniture</v>
      </c>
      <c r="G147" s="3">
        <v>50</v>
      </c>
      <c r="H147" s="3">
        <v>2</v>
      </c>
      <c r="I147" s="3">
        <f t="shared" si="37"/>
        <v>81089.8</v>
      </c>
      <c r="J147" s="3">
        <f t="shared" si="53"/>
        <v>16869345.800000001</v>
      </c>
      <c r="K147" s="4">
        <f t="shared" si="39"/>
        <v>0.57882731864924253</v>
      </c>
      <c r="M147" s="6">
        <f t="shared" si="40"/>
        <v>202.48456731316588</v>
      </c>
      <c r="N147" s="6">
        <f t="shared" si="41"/>
        <v>230.8679276123039</v>
      </c>
      <c r="O147" s="6">
        <f t="shared" si="42"/>
        <v>2.2465753424657535</v>
      </c>
      <c r="P147" s="6">
        <f t="shared" si="43"/>
        <v>26.958904109589042</v>
      </c>
      <c r="Q147" t="str">
        <f t="shared" si="44"/>
        <v>A</v>
      </c>
      <c r="R147" s="6">
        <f t="shared" si="45"/>
        <v>101.24228365658294</v>
      </c>
      <c r="S147" s="6">
        <f t="shared" si="46"/>
        <v>8.0993826925266337</v>
      </c>
      <c r="T147" s="6">
        <f t="shared" si="47"/>
        <v>202.48456731316585</v>
      </c>
      <c r="U147" s="6">
        <f t="shared" si="48"/>
        <v>50.621141828291471</v>
      </c>
      <c r="V147" s="6">
        <f t="shared" si="49"/>
        <v>253.10570914145734</v>
      </c>
      <c r="W147">
        <v>1</v>
      </c>
      <c r="X147" t="str">
        <f t="shared" si="50"/>
        <v>ALERT</v>
      </c>
      <c r="Y147" s="6">
        <f t="shared" si="51"/>
        <v>17</v>
      </c>
      <c r="Z147" s="6">
        <f t="shared" si="52"/>
        <v>34</v>
      </c>
    </row>
    <row r="148" spans="1:26" x14ac:dyDescent="0.3">
      <c r="A148" s="3" t="str">
        <f t="shared" si="36"/>
        <v>SKU147</v>
      </c>
      <c r="B148" s="3">
        <v>1917</v>
      </c>
      <c r="C148" s="3">
        <f t="shared" si="38"/>
        <v>2492.1</v>
      </c>
      <c r="D148" s="3">
        <v>42.07</v>
      </c>
      <c r="E148" s="3">
        <v>15</v>
      </c>
      <c r="F148" s="3" t="str" cm="1">
        <f t="array" aca="1" ref="F148" ca="1">INDEX({"Electronics","Clothing","Food","Furniture"}, RANDBETWEEN(1,4))</f>
        <v>Electronics</v>
      </c>
      <c r="G148" s="3">
        <v>50</v>
      </c>
      <c r="H148" s="3">
        <v>2</v>
      </c>
      <c r="I148" s="3">
        <f t="shared" si="37"/>
        <v>80648.19</v>
      </c>
      <c r="J148" s="3">
        <f t="shared" si="53"/>
        <v>16949993.990000002</v>
      </c>
      <c r="K148" s="4">
        <f t="shared" si="39"/>
        <v>0.58159454958546619</v>
      </c>
      <c r="M148" s="6">
        <f t="shared" si="40"/>
        <v>309.59651160825439</v>
      </c>
      <c r="N148" s="6">
        <f t="shared" si="41"/>
        <v>352.99433423215169</v>
      </c>
      <c r="O148" s="6">
        <f t="shared" si="42"/>
        <v>5.2520547945205482</v>
      </c>
      <c r="P148" s="6">
        <f t="shared" si="43"/>
        <v>78.780821917808225</v>
      </c>
      <c r="Q148" t="str">
        <f t="shared" si="44"/>
        <v>A</v>
      </c>
      <c r="R148" s="6">
        <f t="shared" si="45"/>
        <v>154.79825580412719</v>
      </c>
      <c r="S148" s="6">
        <f t="shared" si="46"/>
        <v>12.383860464330176</v>
      </c>
      <c r="T148" s="6">
        <f t="shared" si="47"/>
        <v>309.59651160825439</v>
      </c>
      <c r="U148" s="6">
        <f t="shared" si="48"/>
        <v>77.399127902063597</v>
      </c>
      <c r="V148" s="6">
        <f t="shared" si="49"/>
        <v>386.99563951031797</v>
      </c>
      <c r="W148">
        <v>95</v>
      </c>
      <c r="X148" t="str">
        <f t="shared" si="50"/>
        <v>OK</v>
      </c>
      <c r="Y148" s="6">
        <f t="shared" si="51"/>
        <v>20</v>
      </c>
      <c r="Z148" s="6">
        <f t="shared" si="52"/>
        <v>100</v>
      </c>
    </row>
    <row r="149" spans="1:26" x14ac:dyDescent="0.3">
      <c r="A149" s="3" t="str">
        <f t="shared" si="36"/>
        <v>SKU148</v>
      </c>
      <c r="B149" s="3">
        <v>1205</v>
      </c>
      <c r="C149" s="3">
        <f t="shared" si="38"/>
        <v>1566.5</v>
      </c>
      <c r="D149" s="3">
        <v>66.86</v>
      </c>
      <c r="E149" s="3">
        <v>18</v>
      </c>
      <c r="F149" s="3" t="str" cm="1">
        <f t="array" aca="1" ref="F149" ca="1">INDEX({"Electronics","Clothing","Food","Furniture"}, RANDBETWEEN(1,4))</f>
        <v>Furniture</v>
      </c>
      <c r="G149" s="3">
        <v>50</v>
      </c>
      <c r="H149" s="3">
        <v>2</v>
      </c>
      <c r="I149" s="3">
        <f t="shared" si="37"/>
        <v>80566.3</v>
      </c>
      <c r="J149" s="3">
        <f t="shared" si="53"/>
        <v>17030560.290000003</v>
      </c>
      <c r="K149" s="4">
        <f t="shared" si="39"/>
        <v>0.58435897068130327</v>
      </c>
      <c r="M149" s="6">
        <f t="shared" si="40"/>
        <v>245.45875417267155</v>
      </c>
      <c r="N149" s="6">
        <f t="shared" si="41"/>
        <v>279.86603938313061</v>
      </c>
      <c r="O149" s="6">
        <f t="shared" si="42"/>
        <v>3.3013698630136985</v>
      </c>
      <c r="P149" s="6">
        <f t="shared" si="43"/>
        <v>59.42465753424657</v>
      </c>
      <c r="Q149" t="str">
        <f t="shared" si="44"/>
        <v>A</v>
      </c>
      <c r="R149" s="6">
        <f t="shared" si="45"/>
        <v>122.72937708633577</v>
      </c>
      <c r="S149" s="6">
        <f t="shared" si="46"/>
        <v>9.8183501669068622</v>
      </c>
      <c r="T149" s="6">
        <f t="shared" si="47"/>
        <v>245.45875417267155</v>
      </c>
      <c r="U149" s="6">
        <f t="shared" si="48"/>
        <v>61.364688543167887</v>
      </c>
      <c r="V149" s="6">
        <f t="shared" si="49"/>
        <v>306.82344271583941</v>
      </c>
      <c r="W149">
        <v>78</v>
      </c>
      <c r="X149" t="str">
        <f t="shared" si="50"/>
        <v>OK</v>
      </c>
      <c r="Y149" s="6">
        <f t="shared" si="51"/>
        <v>23</v>
      </c>
      <c r="Z149" s="6">
        <f t="shared" si="52"/>
        <v>69</v>
      </c>
    </row>
    <row r="150" spans="1:26" x14ac:dyDescent="0.3">
      <c r="A150" s="3" t="str">
        <f t="shared" si="36"/>
        <v>SKU149</v>
      </c>
      <c r="B150" s="3">
        <v>915</v>
      </c>
      <c r="C150" s="3">
        <f t="shared" si="38"/>
        <v>1189.5</v>
      </c>
      <c r="D150" s="3">
        <v>87.97</v>
      </c>
      <c r="E150" s="3">
        <v>24</v>
      </c>
      <c r="F150" s="3" t="str" cm="1">
        <f t="array" aca="1" ref="F150" ca="1">INDEX({"Electronics","Clothing","Food","Furniture"}, RANDBETWEEN(1,4))</f>
        <v>Electronics</v>
      </c>
      <c r="G150" s="3">
        <v>50</v>
      </c>
      <c r="H150" s="3">
        <v>2</v>
      </c>
      <c r="I150" s="3">
        <f t="shared" si="37"/>
        <v>80492.55</v>
      </c>
      <c r="J150" s="3">
        <f t="shared" si="53"/>
        <v>17111052.840000004</v>
      </c>
      <c r="K150" s="4">
        <f t="shared" si="39"/>
        <v>0.58712086123948615</v>
      </c>
      <c r="M150" s="6">
        <f t="shared" si="40"/>
        <v>213.89249636207438</v>
      </c>
      <c r="N150" s="6">
        <f t="shared" si="41"/>
        <v>243.87496796514398</v>
      </c>
      <c r="O150" s="6">
        <f t="shared" si="42"/>
        <v>2.506849315068493</v>
      </c>
      <c r="P150" s="6">
        <f t="shared" si="43"/>
        <v>60.164383561643831</v>
      </c>
      <c r="Q150" t="str">
        <f t="shared" si="44"/>
        <v>A</v>
      </c>
      <c r="R150" s="6">
        <f t="shared" si="45"/>
        <v>106.94624818103719</v>
      </c>
      <c r="S150" s="6">
        <f t="shared" si="46"/>
        <v>8.5556998544829739</v>
      </c>
      <c r="T150" s="6">
        <f t="shared" si="47"/>
        <v>213.89249636207435</v>
      </c>
      <c r="U150" s="6">
        <f t="shared" si="48"/>
        <v>53.473124090518596</v>
      </c>
      <c r="V150" s="6">
        <f t="shared" si="49"/>
        <v>267.36562045259296</v>
      </c>
      <c r="W150">
        <v>28</v>
      </c>
      <c r="X150" t="str">
        <f t="shared" si="50"/>
        <v>ALERT</v>
      </c>
      <c r="Y150" s="6">
        <f t="shared" si="51"/>
        <v>29</v>
      </c>
      <c r="Z150" s="6">
        <f t="shared" si="52"/>
        <v>87</v>
      </c>
    </row>
    <row r="151" spans="1:26" x14ac:dyDescent="0.3">
      <c r="A151" s="3" t="str">
        <f t="shared" si="36"/>
        <v>SKU150</v>
      </c>
      <c r="B151" s="3">
        <v>1947</v>
      </c>
      <c r="C151" s="3">
        <f t="shared" si="38"/>
        <v>2531.1</v>
      </c>
      <c r="D151" s="3">
        <v>40.9</v>
      </c>
      <c r="E151" s="3">
        <v>25</v>
      </c>
      <c r="F151" s="3" t="str" cm="1">
        <f t="array" aca="1" ref="F151" ca="1">INDEX({"Electronics","Clothing","Food","Furniture"}, RANDBETWEEN(1,4))</f>
        <v>Electronics</v>
      </c>
      <c r="G151" s="3">
        <v>50</v>
      </c>
      <c r="H151" s="3">
        <v>2</v>
      </c>
      <c r="I151" s="3">
        <f t="shared" si="37"/>
        <v>79632.3</v>
      </c>
      <c r="J151" s="3">
        <f t="shared" si="53"/>
        <v>17190685.140000004</v>
      </c>
      <c r="K151" s="4">
        <f t="shared" si="39"/>
        <v>0.58985323457709782</v>
      </c>
      <c r="M151" s="6">
        <f t="shared" si="40"/>
        <v>312.0096152364539</v>
      </c>
      <c r="N151" s="6">
        <f t="shared" si="41"/>
        <v>355.74569568724229</v>
      </c>
      <c r="O151" s="6">
        <f t="shared" si="42"/>
        <v>5.3342465753424655</v>
      </c>
      <c r="P151" s="6">
        <f t="shared" si="43"/>
        <v>133.35616438356163</v>
      </c>
      <c r="Q151" t="str">
        <f t="shared" si="44"/>
        <v>A</v>
      </c>
      <c r="R151" s="6">
        <f t="shared" si="45"/>
        <v>156.00480761822695</v>
      </c>
      <c r="S151" s="6">
        <f t="shared" si="46"/>
        <v>12.480384609458156</v>
      </c>
      <c r="T151" s="6">
        <f t="shared" si="47"/>
        <v>312.0096152364539</v>
      </c>
      <c r="U151" s="6">
        <f t="shared" si="48"/>
        <v>78.002403809113474</v>
      </c>
      <c r="V151" s="6">
        <f t="shared" si="49"/>
        <v>390.0120190455674</v>
      </c>
      <c r="W151">
        <v>114</v>
      </c>
      <c r="X151" t="str">
        <f t="shared" si="50"/>
        <v>ALERT</v>
      </c>
      <c r="Y151" s="6">
        <f t="shared" si="51"/>
        <v>30</v>
      </c>
      <c r="Z151" s="6">
        <f t="shared" si="52"/>
        <v>150</v>
      </c>
    </row>
    <row r="152" spans="1:26" x14ac:dyDescent="0.3">
      <c r="A152" s="3" t="str">
        <f t="shared" si="36"/>
        <v>SKU151</v>
      </c>
      <c r="B152" s="3">
        <v>1581</v>
      </c>
      <c r="C152" s="3">
        <f t="shared" si="38"/>
        <v>2055.3000000000002</v>
      </c>
      <c r="D152" s="3">
        <v>49.91</v>
      </c>
      <c r="E152" s="3">
        <v>24</v>
      </c>
      <c r="F152" s="3" t="str" cm="1">
        <f t="array" aca="1" ref="F152" ca="1">INDEX({"Electronics","Clothing","Food","Furniture"}, RANDBETWEEN(1,4))</f>
        <v>Clothing</v>
      </c>
      <c r="G152" s="3">
        <v>50</v>
      </c>
      <c r="H152" s="3">
        <v>2</v>
      </c>
      <c r="I152" s="3">
        <f t="shared" si="37"/>
        <v>78907.709999999992</v>
      </c>
      <c r="J152" s="3">
        <f t="shared" si="53"/>
        <v>17269592.850000005</v>
      </c>
      <c r="K152" s="4">
        <f t="shared" si="39"/>
        <v>0.59256074551092741</v>
      </c>
      <c r="M152" s="6">
        <f t="shared" si="40"/>
        <v>281.15831839019097</v>
      </c>
      <c r="N152" s="6">
        <f t="shared" si="41"/>
        <v>320.56980519069481</v>
      </c>
      <c r="O152" s="6">
        <f t="shared" si="42"/>
        <v>4.3315068493150681</v>
      </c>
      <c r="P152" s="6">
        <f t="shared" si="43"/>
        <v>103.95616438356163</v>
      </c>
      <c r="Q152" t="str">
        <f t="shared" si="44"/>
        <v>A</v>
      </c>
      <c r="R152" s="6">
        <f t="shared" si="45"/>
        <v>140.57915919509549</v>
      </c>
      <c r="S152" s="6">
        <f t="shared" si="46"/>
        <v>11.246332735607639</v>
      </c>
      <c r="T152" s="6">
        <f t="shared" si="47"/>
        <v>281.15831839019097</v>
      </c>
      <c r="U152" s="6">
        <f t="shared" si="48"/>
        <v>70.289579597547743</v>
      </c>
      <c r="V152" s="6">
        <f t="shared" si="49"/>
        <v>351.44789798773871</v>
      </c>
      <c r="W152">
        <v>133</v>
      </c>
      <c r="X152" t="str">
        <f t="shared" si="50"/>
        <v>OK</v>
      </c>
      <c r="Y152" s="6">
        <f t="shared" si="51"/>
        <v>29</v>
      </c>
      <c r="Z152" s="6">
        <f t="shared" si="52"/>
        <v>116</v>
      </c>
    </row>
    <row r="153" spans="1:26" x14ac:dyDescent="0.3">
      <c r="A153" s="3" t="str">
        <f t="shared" si="36"/>
        <v>SKU152</v>
      </c>
      <c r="B153" s="3">
        <v>1631</v>
      </c>
      <c r="C153" s="3">
        <f t="shared" si="38"/>
        <v>2120.3000000000002</v>
      </c>
      <c r="D153" s="3">
        <v>48.17</v>
      </c>
      <c r="E153" s="3">
        <v>6</v>
      </c>
      <c r="F153" s="3" t="str" cm="1">
        <f t="array" aca="1" ref="F153" ca="1">INDEX({"Electronics","Clothing","Food","Furniture"}, RANDBETWEEN(1,4))</f>
        <v>Electronics</v>
      </c>
      <c r="G153" s="3">
        <v>50</v>
      </c>
      <c r="H153" s="3">
        <v>2</v>
      </c>
      <c r="I153" s="3">
        <f t="shared" si="37"/>
        <v>78565.27</v>
      </c>
      <c r="J153" s="3">
        <f t="shared" si="53"/>
        <v>17348158.120000005</v>
      </c>
      <c r="K153" s="4">
        <f t="shared" si="39"/>
        <v>0.595256506515071</v>
      </c>
      <c r="M153" s="6">
        <f t="shared" si="40"/>
        <v>285.56960622587269</v>
      </c>
      <c r="N153" s="6">
        <f t="shared" si="41"/>
        <v>325.59944717397786</v>
      </c>
      <c r="O153" s="6">
        <f t="shared" si="42"/>
        <v>4.4684931506849317</v>
      </c>
      <c r="P153" s="6">
        <f t="shared" si="43"/>
        <v>26.81095890410959</v>
      </c>
      <c r="Q153" t="str">
        <f t="shared" si="44"/>
        <v>A</v>
      </c>
      <c r="R153" s="6">
        <f t="shared" si="45"/>
        <v>142.78480311293634</v>
      </c>
      <c r="S153" s="6">
        <f t="shared" si="46"/>
        <v>11.42278424903491</v>
      </c>
      <c r="T153" s="6">
        <f t="shared" si="47"/>
        <v>285.56960622587275</v>
      </c>
      <c r="U153" s="6">
        <f t="shared" si="48"/>
        <v>71.392401556468172</v>
      </c>
      <c r="V153" s="6">
        <f t="shared" si="49"/>
        <v>356.96200778234095</v>
      </c>
      <c r="W153">
        <v>50</v>
      </c>
      <c r="X153" t="str">
        <f t="shared" si="50"/>
        <v>OK</v>
      </c>
      <c r="Y153" s="6">
        <f t="shared" si="51"/>
        <v>11</v>
      </c>
      <c r="Z153" s="6">
        <f t="shared" si="52"/>
        <v>44</v>
      </c>
    </row>
    <row r="154" spans="1:26" x14ac:dyDescent="0.3">
      <c r="A154" s="3" t="str">
        <f t="shared" si="36"/>
        <v>SKU153</v>
      </c>
      <c r="B154" s="3">
        <v>1443</v>
      </c>
      <c r="C154" s="3">
        <f t="shared" si="38"/>
        <v>1875.9</v>
      </c>
      <c r="D154" s="3">
        <v>54.43</v>
      </c>
      <c r="E154" s="3">
        <v>28</v>
      </c>
      <c r="F154" s="3" t="str" cm="1">
        <f t="array" aca="1" ref="F154" ca="1">INDEX({"Electronics","Clothing","Food","Furniture"}, RANDBETWEEN(1,4))</f>
        <v>Food</v>
      </c>
      <c r="G154" s="3">
        <v>50</v>
      </c>
      <c r="H154" s="3">
        <v>2</v>
      </c>
      <c r="I154" s="3">
        <f t="shared" si="37"/>
        <v>78542.490000000005</v>
      </c>
      <c r="J154" s="3">
        <f t="shared" si="53"/>
        <v>17426700.610000003</v>
      </c>
      <c r="K154" s="4">
        <f t="shared" si="39"/>
        <v>0.59795148588331271</v>
      </c>
      <c r="M154" s="6">
        <f t="shared" si="40"/>
        <v>268.60752037126588</v>
      </c>
      <c r="N154" s="6">
        <f t="shared" si="41"/>
        <v>306.2596937241334</v>
      </c>
      <c r="O154" s="6">
        <f t="shared" si="42"/>
        <v>3.9534246575342467</v>
      </c>
      <c r="P154" s="6">
        <f t="shared" si="43"/>
        <v>110.69589041095891</v>
      </c>
      <c r="Q154" t="str">
        <f t="shared" si="44"/>
        <v>A</v>
      </c>
      <c r="R154" s="6">
        <f t="shared" si="45"/>
        <v>134.30376018563294</v>
      </c>
      <c r="S154" s="6">
        <f t="shared" si="46"/>
        <v>10.744300814850632</v>
      </c>
      <c r="T154" s="6">
        <f t="shared" si="47"/>
        <v>268.60752037126582</v>
      </c>
      <c r="U154" s="6">
        <f t="shared" si="48"/>
        <v>67.151880092816469</v>
      </c>
      <c r="V154" s="6">
        <f t="shared" si="49"/>
        <v>335.75940046408232</v>
      </c>
      <c r="W154">
        <v>132</v>
      </c>
      <c r="X154" t="str">
        <f t="shared" si="50"/>
        <v>OK</v>
      </c>
      <c r="Y154" s="6">
        <f t="shared" si="51"/>
        <v>33</v>
      </c>
      <c r="Z154" s="6">
        <f t="shared" si="52"/>
        <v>132</v>
      </c>
    </row>
    <row r="155" spans="1:26" x14ac:dyDescent="0.3">
      <c r="A155" s="3" t="str">
        <f t="shared" si="36"/>
        <v>SKU154</v>
      </c>
      <c r="B155" s="3">
        <v>1012</v>
      </c>
      <c r="C155" s="3">
        <f t="shared" si="38"/>
        <v>1315.6000000000001</v>
      </c>
      <c r="D155" s="3">
        <v>77.38</v>
      </c>
      <c r="E155" s="3">
        <v>20</v>
      </c>
      <c r="F155" s="3" t="str" cm="1">
        <f t="array" aca="1" ref="F155" ca="1">INDEX({"Electronics","Clothing","Food","Furniture"}, RANDBETWEEN(1,4))</f>
        <v>Electronics</v>
      </c>
      <c r="G155" s="3">
        <v>50</v>
      </c>
      <c r="H155" s="3">
        <v>2</v>
      </c>
      <c r="I155" s="3">
        <f t="shared" si="37"/>
        <v>78308.56</v>
      </c>
      <c r="J155" s="3">
        <f t="shared" si="53"/>
        <v>17505009.170000002</v>
      </c>
      <c r="K155" s="4">
        <f t="shared" si="39"/>
        <v>0.60063843855767673</v>
      </c>
      <c r="M155" s="6">
        <f t="shared" si="40"/>
        <v>224.94443758403986</v>
      </c>
      <c r="N155" s="6">
        <f t="shared" si="41"/>
        <v>256.47611974606917</v>
      </c>
      <c r="O155" s="6">
        <f t="shared" si="42"/>
        <v>2.7726027397260276</v>
      </c>
      <c r="P155" s="6">
        <f t="shared" si="43"/>
        <v>55.452054794520549</v>
      </c>
      <c r="Q155" t="str">
        <f t="shared" si="44"/>
        <v>A</v>
      </c>
      <c r="R155" s="6">
        <f t="shared" si="45"/>
        <v>112.47221879201993</v>
      </c>
      <c r="S155" s="6">
        <f t="shared" si="46"/>
        <v>8.9977775033615934</v>
      </c>
      <c r="T155" s="6">
        <f t="shared" si="47"/>
        <v>224.94443758403983</v>
      </c>
      <c r="U155" s="6">
        <f t="shared" si="48"/>
        <v>56.236109396009965</v>
      </c>
      <c r="V155" s="6">
        <f t="shared" si="49"/>
        <v>281.18054698004983</v>
      </c>
      <c r="W155">
        <v>28</v>
      </c>
      <c r="X155" t="str">
        <f t="shared" si="50"/>
        <v>ALERT</v>
      </c>
      <c r="Y155" s="6">
        <f t="shared" si="51"/>
        <v>25</v>
      </c>
      <c r="Z155" s="6">
        <f t="shared" si="52"/>
        <v>75</v>
      </c>
    </row>
    <row r="156" spans="1:26" x14ac:dyDescent="0.3">
      <c r="A156" s="3" t="str">
        <f t="shared" si="36"/>
        <v>SKU155</v>
      </c>
      <c r="B156" s="3">
        <v>1341</v>
      </c>
      <c r="C156" s="3">
        <f t="shared" si="38"/>
        <v>1743.3</v>
      </c>
      <c r="D156" s="3">
        <v>58.36</v>
      </c>
      <c r="E156" s="3">
        <v>12</v>
      </c>
      <c r="F156" s="3" t="str" cm="1">
        <f t="array" aca="1" ref="F156" ca="1">INDEX({"Electronics","Clothing","Food","Furniture"}, RANDBETWEEN(1,4))</f>
        <v>Electronics</v>
      </c>
      <c r="G156" s="3">
        <v>50</v>
      </c>
      <c r="H156" s="3">
        <v>2</v>
      </c>
      <c r="I156" s="3">
        <f t="shared" si="37"/>
        <v>78260.759999999995</v>
      </c>
      <c r="J156" s="3">
        <f t="shared" si="53"/>
        <v>17583269.930000003</v>
      </c>
      <c r="K156" s="4">
        <f t="shared" si="39"/>
        <v>0.60332375110051728</v>
      </c>
      <c r="M156" s="6">
        <f t="shared" si="40"/>
        <v>258.94014752448101</v>
      </c>
      <c r="N156" s="6">
        <f t="shared" si="41"/>
        <v>295.23719277895867</v>
      </c>
      <c r="O156" s="6">
        <f t="shared" si="42"/>
        <v>3.6739726027397261</v>
      </c>
      <c r="P156" s="6">
        <f t="shared" si="43"/>
        <v>44.087671232876716</v>
      </c>
      <c r="Q156" t="str">
        <f t="shared" si="44"/>
        <v>A</v>
      </c>
      <c r="R156" s="6">
        <f t="shared" si="45"/>
        <v>129.4700737622405</v>
      </c>
      <c r="S156" s="6">
        <f t="shared" si="46"/>
        <v>10.357605900979243</v>
      </c>
      <c r="T156" s="6">
        <f t="shared" si="47"/>
        <v>258.94014752448106</v>
      </c>
      <c r="U156" s="6">
        <f t="shared" si="48"/>
        <v>64.735036881120251</v>
      </c>
      <c r="V156" s="6">
        <f t="shared" si="49"/>
        <v>323.67518440560133</v>
      </c>
      <c r="W156">
        <v>27</v>
      </c>
      <c r="X156" t="str">
        <f t="shared" si="50"/>
        <v>ALERT</v>
      </c>
      <c r="Y156" s="6">
        <f t="shared" si="51"/>
        <v>17</v>
      </c>
      <c r="Z156" s="6">
        <f t="shared" si="52"/>
        <v>68</v>
      </c>
    </row>
    <row r="157" spans="1:26" x14ac:dyDescent="0.3">
      <c r="A157" s="3" t="str">
        <f t="shared" si="36"/>
        <v>SKU156</v>
      </c>
      <c r="B157" s="3">
        <v>1019</v>
      </c>
      <c r="C157" s="3">
        <f t="shared" si="38"/>
        <v>1324.7</v>
      </c>
      <c r="D157" s="3">
        <v>76.02</v>
      </c>
      <c r="E157" s="3">
        <v>6</v>
      </c>
      <c r="F157" s="3" t="str" cm="1">
        <f t="array" aca="1" ref="F157" ca="1">INDEX({"Electronics","Clothing","Food","Furniture"}, RANDBETWEEN(1,4))</f>
        <v>Clothing</v>
      </c>
      <c r="G157" s="3">
        <v>50</v>
      </c>
      <c r="H157" s="3">
        <v>2</v>
      </c>
      <c r="I157" s="3">
        <f t="shared" si="37"/>
        <v>77464.37999999999</v>
      </c>
      <c r="J157" s="3">
        <f t="shared" si="53"/>
        <v>17660734.310000002</v>
      </c>
      <c r="K157" s="4">
        <f t="shared" si="39"/>
        <v>0.60598173795417609</v>
      </c>
      <c r="M157" s="6">
        <f t="shared" si="40"/>
        <v>225.72106680591423</v>
      </c>
      <c r="N157" s="6">
        <f t="shared" si="41"/>
        <v>257.36161329926421</v>
      </c>
      <c r="O157" s="6">
        <f t="shared" si="42"/>
        <v>2.7917808219178082</v>
      </c>
      <c r="P157" s="6">
        <f t="shared" si="43"/>
        <v>16.75068493150685</v>
      </c>
      <c r="Q157" t="str">
        <f t="shared" si="44"/>
        <v>A</v>
      </c>
      <c r="R157" s="6">
        <f t="shared" si="45"/>
        <v>112.86053340295712</v>
      </c>
      <c r="S157" s="6">
        <f t="shared" si="46"/>
        <v>9.0288426722365696</v>
      </c>
      <c r="T157" s="6">
        <f t="shared" si="47"/>
        <v>225.72106680591423</v>
      </c>
      <c r="U157" s="6">
        <f t="shared" si="48"/>
        <v>56.430266701478558</v>
      </c>
      <c r="V157" s="6">
        <f t="shared" si="49"/>
        <v>282.15133350739279</v>
      </c>
      <c r="W157">
        <v>14</v>
      </c>
      <c r="X157" t="str">
        <f t="shared" si="50"/>
        <v>ALERT</v>
      </c>
      <c r="Y157" s="6">
        <f t="shared" si="51"/>
        <v>11</v>
      </c>
      <c r="Z157" s="6">
        <f t="shared" si="52"/>
        <v>33</v>
      </c>
    </row>
    <row r="158" spans="1:26" x14ac:dyDescent="0.3">
      <c r="A158" s="3" t="str">
        <f t="shared" si="36"/>
        <v>SKU157</v>
      </c>
      <c r="B158" s="3">
        <v>1276</v>
      </c>
      <c r="C158" s="3">
        <f t="shared" si="38"/>
        <v>1658.8</v>
      </c>
      <c r="D158" s="3">
        <v>60.43</v>
      </c>
      <c r="E158" s="3">
        <v>11</v>
      </c>
      <c r="F158" s="3" t="str" cm="1">
        <f t="array" aca="1" ref="F158" ca="1">INDEX({"Electronics","Clothing","Food","Furniture"}, RANDBETWEEN(1,4))</f>
        <v>Food</v>
      </c>
      <c r="G158" s="3">
        <v>50</v>
      </c>
      <c r="H158" s="3">
        <v>2</v>
      </c>
      <c r="I158" s="3">
        <f t="shared" si="37"/>
        <v>77108.679999999993</v>
      </c>
      <c r="J158" s="3">
        <f t="shared" si="53"/>
        <v>17737842.990000002</v>
      </c>
      <c r="K158" s="4">
        <f t="shared" si="39"/>
        <v>0.6086275198960569</v>
      </c>
      <c r="M158" s="6">
        <f t="shared" si="40"/>
        <v>252.58661880630177</v>
      </c>
      <c r="N158" s="6">
        <f t="shared" si="41"/>
        <v>287.99305547182905</v>
      </c>
      <c r="O158" s="6">
        <f t="shared" si="42"/>
        <v>3.495890410958904</v>
      </c>
      <c r="P158" s="6">
        <f t="shared" si="43"/>
        <v>38.454794520547942</v>
      </c>
      <c r="Q158" t="str">
        <f t="shared" si="44"/>
        <v>A</v>
      </c>
      <c r="R158" s="6">
        <f t="shared" si="45"/>
        <v>126.29330940315089</v>
      </c>
      <c r="S158" s="6">
        <f t="shared" si="46"/>
        <v>10.103464752252071</v>
      </c>
      <c r="T158" s="6">
        <f t="shared" si="47"/>
        <v>252.58661880630177</v>
      </c>
      <c r="U158" s="6">
        <f t="shared" si="48"/>
        <v>63.146654701575443</v>
      </c>
      <c r="V158" s="6">
        <f t="shared" si="49"/>
        <v>315.73327350787724</v>
      </c>
      <c r="W158">
        <v>66</v>
      </c>
      <c r="X158" t="str">
        <f t="shared" si="50"/>
        <v>OK</v>
      </c>
      <c r="Y158" s="6">
        <f t="shared" si="51"/>
        <v>16</v>
      </c>
      <c r="Z158" s="6">
        <f t="shared" si="52"/>
        <v>48</v>
      </c>
    </row>
    <row r="159" spans="1:26" x14ac:dyDescent="0.3">
      <c r="A159" s="3" t="str">
        <f t="shared" si="36"/>
        <v>SKU158</v>
      </c>
      <c r="B159" s="3">
        <v>1741</v>
      </c>
      <c r="C159" s="3">
        <f t="shared" si="38"/>
        <v>2263.3000000000002</v>
      </c>
      <c r="D159" s="3">
        <v>44.12</v>
      </c>
      <c r="E159" s="3">
        <v>21</v>
      </c>
      <c r="F159" s="3" t="str" cm="1">
        <f t="array" aca="1" ref="F159" ca="1">INDEX({"Electronics","Clothing","Food","Furniture"}, RANDBETWEEN(1,4))</f>
        <v>Food</v>
      </c>
      <c r="G159" s="3">
        <v>50</v>
      </c>
      <c r="H159" s="3">
        <v>2</v>
      </c>
      <c r="I159" s="3">
        <f t="shared" si="37"/>
        <v>76812.92</v>
      </c>
      <c r="J159" s="3">
        <f t="shared" si="53"/>
        <v>17814655.910000004</v>
      </c>
      <c r="K159" s="4">
        <f t="shared" si="39"/>
        <v>0.61126315360991557</v>
      </c>
      <c r="M159" s="6">
        <f t="shared" si="40"/>
        <v>295.04236983863859</v>
      </c>
      <c r="N159" s="6">
        <f t="shared" si="41"/>
        <v>336.40005945302687</v>
      </c>
      <c r="O159" s="6">
        <f t="shared" si="42"/>
        <v>4.7698630136986298</v>
      </c>
      <c r="P159" s="6">
        <f t="shared" si="43"/>
        <v>100.16712328767123</v>
      </c>
      <c r="Q159" t="str">
        <f t="shared" si="44"/>
        <v>A</v>
      </c>
      <c r="R159" s="6">
        <f t="shared" si="45"/>
        <v>147.5211849193193</v>
      </c>
      <c r="S159" s="6">
        <f t="shared" si="46"/>
        <v>11.801694793545543</v>
      </c>
      <c r="T159" s="6">
        <f t="shared" si="47"/>
        <v>295.04236983863859</v>
      </c>
      <c r="U159" s="6">
        <f t="shared" si="48"/>
        <v>73.760592459659648</v>
      </c>
      <c r="V159" s="6">
        <f t="shared" si="49"/>
        <v>368.80296229829821</v>
      </c>
      <c r="W159">
        <v>101</v>
      </c>
      <c r="X159" t="str">
        <f t="shared" si="50"/>
        <v>OK</v>
      </c>
      <c r="Y159" s="6">
        <f t="shared" si="51"/>
        <v>26</v>
      </c>
      <c r="Z159" s="6">
        <f t="shared" si="52"/>
        <v>130</v>
      </c>
    </row>
    <row r="160" spans="1:26" x14ac:dyDescent="0.3">
      <c r="A160" s="3" t="str">
        <f t="shared" si="36"/>
        <v>SKU159</v>
      </c>
      <c r="B160" s="3">
        <v>828</v>
      </c>
      <c r="C160" s="3">
        <f t="shared" si="38"/>
        <v>1076.4000000000001</v>
      </c>
      <c r="D160" s="3">
        <v>92.73</v>
      </c>
      <c r="E160" s="3">
        <v>3</v>
      </c>
      <c r="F160" s="3" t="str" cm="1">
        <f t="array" aca="1" ref="F160" ca="1">INDEX({"Electronics","Clothing","Food","Furniture"}, RANDBETWEEN(1,4))</f>
        <v>Electronics</v>
      </c>
      <c r="G160" s="3">
        <v>50</v>
      </c>
      <c r="H160" s="3">
        <v>2</v>
      </c>
      <c r="I160" s="3">
        <f t="shared" si="37"/>
        <v>76780.44</v>
      </c>
      <c r="J160" s="3">
        <f t="shared" si="53"/>
        <v>17891436.350000005</v>
      </c>
      <c r="K160" s="4">
        <f t="shared" si="39"/>
        <v>0.61389767285783503</v>
      </c>
      <c r="M160" s="6">
        <f t="shared" si="40"/>
        <v>203.46989949375805</v>
      </c>
      <c r="N160" s="6">
        <f t="shared" si="41"/>
        <v>231.99137915017448</v>
      </c>
      <c r="O160" s="6">
        <f t="shared" si="42"/>
        <v>2.2684931506849315</v>
      </c>
      <c r="P160" s="6">
        <f t="shared" si="43"/>
        <v>6.8054794520547945</v>
      </c>
      <c r="Q160" t="str">
        <f t="shared" si="44"/>
        <v>A</v>
      </c>
      <c r="R160" s="6">
        <f t="shared" si="45"/>
        <v>101.73494974687902</v>
      </c>
      <c r="S160" s="6">
        <f t="shared" si="46"/>
        <v>8.1387959797503218</v>
      </c>
      <c r="T160" s="6">
        <f t="shared" si="47"/>
        <v>203.46989949375805</v>
      </c>
      <c r="U160" s="6">
        <f t="shared" si="48"/>
        <v>50.867474873439512</v>
      </c>
      <c r="V160" s="6">
        <f t="shared" si="49"/>
        <v>254.33737436719755</v>
      </c>
      <c r="W160">
        <v>53</v>
      </c>
      <c r="X160" t="str">
        <f t="shared" si="50"/>
        <v>OK</v>
      </c>
      <c r="Y160" s="6">
        <f t="shared" si="51"/>
        <v>8</v>
      </c>
      <c r="Z160" s="6">
        <f t="shared" si="52"/>
        <v>16</v>
      </c>
    </row>
    <row r="161" spans="1:26" x14ac:dyDescent="0.3">
      <c r="A161" s="3" t="str">
        <f t="shared" si="36"/>
        <v>SKU160</v>
      </c>
      <c r="B161" s="3">
        <v>1154</v>
      </c>
      <c r="C161" s="3">
        <f t="shared" si="38"/>
        <v>1500.2</v>
      </c>
      <c r="D161" s="3">
        <v>65.52</v>
      </c>
      <c r="E161" s="3">
        <v>10</v>
      </c>
      <c r="F161" s="3" t="str" cm="1">
        <f t="array" aca="1" ref="F161" ca="1">INDEX({"Electronics","Clothing","Food","Furniture"}, RANDBETWEEN(1,4))</f>
        <v>Furniture</v>
      </c>
      <c r="G161" s="3">
        <v>50</v>
      </c>
      <c r="H161" s="3">
        <v>2</v>
      </c>
      <c r="I161" s="3">
        <f t="shared" si="37"/>
        <v>75610.080000000002</v>
      </c>
      <c r="J161" s="3">
        <f t="shared" si="53"/>
        <v>17967046.430000003</v>
      </c>
      <c r="K161" s="4">
        <f t="shared" si="39"/>
        <v>0.61649203427458033</v>
      </c>
      <c r="M161" s="6">
        <f t="shared" si="40"/>
        <v>240.20824298928628</v>
      </c>
      <c r="N161" s="6">
        <f t="shared" si="41"/>
        <v>273.87953556262653</v>
      </c>
      <c r="O161" s="6">
        <f t="shared" si="42"/>
        <v>3.1616438356164385</v>
      </c>
      <c r="P161" s="6">
        <f t="shared" si="43"/>
        <v>31.616438356164384</v>
      </c>
      <c r="Q161" t="str">
        <f t="shared" si="44"/>
        <v>A</v>
      </c>
      <c r="R161" s="6">
        <f t="shared" si="45"/>
        <v>120.10412149464314</v>
      </c>
      <c r="S161" s="6">
        <f t="shared" si="46"/>
        <v>9.6083297195714508</v>
      </c>
      <c r="T161" s="6">
        <f t="shared" si="47"/>
        <v>240.20824298928628</v>
      </c>
      <c r="U161" s="6">
        <f t="shared" si="48"/>
        <v>60.052060747321569</v>
      </c>
      <c r="V161" s="6">
        <f t="shared" si="49"/>
        <v>300.26030373660785</v>
      </c>
      <c r="W161">
        <v>67</v>
      </c>
      <c r="X161" t="str">
        <f t="shared" si="50"/>
        <v>OK</v>
      </c>
      <c r="Y161" s="6">
        <f t="shared" si="51"/>
        <v>15</v>
      </c>
      <c r="Z161" s="6">
        <f t="shared" si="52"/>
        <v>45</v>
      </c>
    </row>
    <row r="162" spans="1:26" x14ac:dyDescent="0.3">
      <c r="A162" s="3" t="str">
        <f t="shared" si="36"/>
        <v>SKU161</v>
      </c>
      <c r="B162" s="3">
        <v>1002</v>
      </c>
      <c r="C162" s="3">
        <f t="shared" si="38"/>
        <v>1302.6000000000001</v>
      </c>
      <c r="D162" s="3">
        <v>75.19</v>
      </c>
      <c r="E162" s="3">
        <v>27</v>
      </c>
      <c r="F162" s="3" t="str" cm="1">
        <f t="array" aca="1" ref="F162" ca="1">INDEX({"Electronics","Clothing","Food","Furniture"}, RANDBETWEEN(1,4))</f>
        <v>Electronics</v>
      </c>
      <c r="G162" s="3">
        <v>50</v>
      </c>
      <c r="H162" s="3">
        <v>2</v>
      </c>
      <c r="I162" s="3">
        <f t="shared" si="37"/>
        <v>75340.38</v>
      </c>
      <c r="J162" s="3">
        <f t="shared" si="53"/>
        <v>18042386.810000002</v>
      </c>
      <c r="K162" s="4">
        <f t="shared" si="39"/>
        <v>0.61907714164379513</v>
      </c>
      <c r="M162" s="6">
        <f t="shared" si="40"/>
        <v>223.83029285599392</v>
      </c>
      <c r="N162" s="6">
        <f t="shared" si="41"/>
        <v>255.20579930714743</v>
      </c>
      <c r="O162" s="6">
        <f t="shared" si="42"/>
        <v>2.7452054794520548</v>
      </c>
      <c r="P162" s="6">
        <f t="shared" si="43"/>
        <v>74.120547945205487</v>
      </c>
      <c r="Q162" t="str">
        <f t="shared" si="44"/>
        <v>A</v>
      </c>
      <c r="R162" s="6">
        <f t="shared" si="45"/>
        <v>111.91514642799696</v>
      </c>
      <c r="S162" s="6">
        <f t="shared" si="46"/>
        <v>8.9532117142397567</v>
      </c>
      <c r="T162" s="6">
        <f t="shared" si="47"/>
        <v>223.83029285599392</v>
      </c>
      <c r="U162" s="6">
        <f t="shared" si="48"/>
        <v>55.957573213998479</v>
      </c>
      <c r="V162" s="6">
        <f t="shared" si="49"/>
        <v>279.78786606999239</v>
      </c>
      <c r="W162">
        <v>97</v>
      </c>
      <c r="X162" t="str">
        <f t="shared" si="50"/>
        <v>OK</v>
      </c>
      <c r="Y162" s="6">
        <f t="shared" si="51"/>
        <v>32</v>
      </c>
      <c r="Z162" s="6">
        <f t="shared" si="52"/>
        <v>96</v>
      </c>
    </row>
    <row r="163" spans="1:26" x14ac:dyDescent="0.3">
      <c r="A163" s="3" t="str">
        <f t="shared" si="36"/>
        <v>SKU162</v>
      </c>
      <c r="B163" s="3">
        <v>896</v>
      </c>
      <c r="C163" s="3">
        <f t="shared" si="38"/>
        <v>1164.8</v>
      </c>
      <c r="D163" s="3">
        <v>82.17</v>
      </c>
      <c r="E163" s="3">
        <v>19</v>
      </c>
      <c r="F163" s="3" t="str" cm="1">
        <f t="array" aca="1" ref="F163" ca="1">INDEX({"Electronics","Clothing","Food","Furniture"}, RANDBETWEEN(1,4))</f>
        <v>Clothing</v>
      </c>
      <c r="G163" s="3">
        <v>50</v>
      </c>
      <c r="H163" s="3">
        <v>2</v>
      </c>
      <c r="I163" s="3">
        <f t="shared" si="37"/>
        <v>73624.320000000007</v>
      </c>
      <c r="J163" s="3">
        <f t="shared" si="53"/>
        <v>18116011.130000003</v>
      </c>
      <c r="K163" s="4">
        <f t="shared" si="39"/>
        <v>0.62160336691881291</v>
      </c>
      <c r="M163" s="6">
        <f t="shared" si="40"/>
        <v>211.66010488516724</v>
      </c>
      <c r="N163" s="6">
        <f t="shared" si="41"/>
        <v>241.3296500639737</v>
      </c>
      <c r="O163" s="6">
        <f t="shared" si="42"/>
        <v>2.4547945205479453</v>
      </c>
      <c r="P163" s="6">
        <f t="shared" si="43"/>
        <v>46.641095890410959</v>
      </c>
      <c r="Q163" t="str">
        <f t="shared" si="44"/>
        <v>A</v>
      </c>
      <c r="R163" s="6">
        <f t="shared" si="45"/>
        <v>105.83005244258362</v>
      </c>
      <c r="S163" s="6">
        <f t="shared" si="46"/>
        <v>8.4664041954066906</v>
      </c>
      <c r="T163" s="6">
        <f t="shared" si="47"/>
        <v>211.66010488516727</v>
      </c>
      <c r="U163" s="6">
        <f t="shared" si="48"/>
        <v>52.915026221291811</v>
      </c>
      <c r="V163" s="6">
        <f t="shared" si="49"/>
        <v>264.57513110645908</v>
      </c>
      <c r="W163">
        <v>71</v>
      </c>
      <c r="X163" t="str">
        <f t="shared" si="50"/>
        <v>OK</v>
      </c>
      <c r="Y163" s="6">
        <f t="shared" si="51"/>
        <v>24</v>
      </c>
      <c r="Z163" s="6">
        <f t="shared" si="52"/>
        <v>48</v>
      </c>
    </row>
    <row r="164" spans="1:26" x14ac:dyDescent="0.3">
      <c r="A164" s="3" t="str">
        <f t="shared" si="36"/>
        <v>SKU163</v>
      </c>
      <c r="B164" s="3">
        <v>826</v>
      </c>
      <c r="C164" s="3">
        <f t="shared" si="38"/>
        <v>1073.8</v>
      </c>
      <c r="D164" s="3">
        <v>87.21</v>
      </c>
      <c r="E164" s="3">
        <v>7</v>
      </c>
      <c r="F164" s="3" t="str" cm="1">
        <f t="array" aca="1" ref="F164" ca="1">INDEX({"Electronics","Clothing","Food","Furniture"}, RANDBETWEEN(1,4))</f>
        <v>Clothing</v>
      </c>
      <c r="G164" s="3">
        <v>50</v>
      </c>
      <c r="H164" s="3">
        <v>2</v>
      </c>
      <c r="I164" s="3">
        <f t="shared" si="37"/>
        <v>72035.459999999992</v>
      </c>
      <c r="J164" s="3">
        <f t="shared" si="53"/>
        <v>18188046.590000004</v>
      </c>
      <c r="K164" s="4">
        <f t="shared" si="39"/>
        <v>0.62407507463373002</v>
      </c>
      <c r="M164" s="6">
        <f t="shared" si="40"/>
        <v>203.22401432901574</v>
      </c>
      <c r="N164" s="6">
        <f t="shared" si="41"/>
        <v>231.71102692793883</v>
      </c>
      <c r="O164" s="6">
        <f t="shared" si="42"/>
        <v>2.2630136986301368</v>
      </c>
      <c r="P164" s="6">
        <f t="shared" si="43"/>
        <v>15.841095890410958</v>
      </c>
      <c r="Q164" t="str">
        <f t="shared" si="44"/>
        <v>A</v>
      </c>
      <c r="R164" s="6">
        <f t="shared" si="45"/>
        <v>101.61200716450787</v>
      </c>
      <c r="S164" s="6">
        <f t="shared" si="46"/>
        <v>8.1289605731606311</v>
      </c>
      <c r="T164" s="6">
        <f t="shared" si="47"/>
        <v>203.22401432901577</v>
      </c>
      <c r="U164" s="6">
        <f t="shared" si="48"/>
        <v>50.806003582253936</v>
      </c>
      <c r="V164" s="6">
        <f t="shared" si="49"/>
        <v>254.03001791126971</v>
      </c>
      <c r="W164">
        <v>14</v>
      </c>
      <c r="X164" t="str">
        <f t="shared" si="50"/>
        <v>ALERT</v>
      </c>
      <c r="Y164" s="6">
        <f t="shared" si="51"/>
        <v>12</v>
      </c>
      <c r="Z164" s="6">
        <f t="shared" si="52"/>
        <v>24</v>
      </c>
    </row>
    <row r="165" spans="1:26" x14ac:dyDescent="0.3">
      <c r="A165" s="3" t="str">
        <f t="shared" si="36"/>
        <v>SKU164</v>
      </c>
      <c r="B165" s="3">
        <v>1806</v>
      </c>
      <c r="C165" s="3">
        <f t="shared" si="38"/>
        <v>2347.8000000000002</v>
      </c>
      <c r="D165" s="3">
        <v>39.340000000000003</v>
      </c>
      <c r="E165" s="3">
        <v>2</v>
      </c>
      <c r="F165" s="3" t="str" cm="1">
        <f t="array" aca="1" ref="F165" ca="1">INDEX({"Electronics","Clothing","Food","Furniture"}, RANDBETWEEN(1,4))</f>
        <v>Clothing</v>
      </c>
      <c r="G165" s="3">
        <v>50</v>
      </c>
      <c r="H165" s="3">
        <v>2</v>
      </c>
      <c r="I165" s="3">
        <f t="shared" si="37"/>
        <v>71048.040000000008</v>
      </c>
      <c r="J165" s="3">
        <f t="shared" si="53"/>
        <v>18259094.630000003</v>
      </c>
      <c r="K165" s="4">
        <f t="shared" si="39"/>
        <v>0.62651290162335072</v>
      </c>
      <c r="M165" s="6">
        <f t="shared" si="40"/>
        <v>300.49958402633439</v>
      </c>
      <c r="N165" s="6">
        <f t="shared" si="41"/>
        <v>342.62224095933999</v>
      </c>
      <c r="O165" s="6">
        <f t="shared" si="42"/>
        <v>4.9479452054794519</v>
      </c>
      <c r="P165" s="6">
        <f t="shared" si="43"/>
        <v>9.8958904109589039</v>
      </c>
      <c r="Q165" t="str">
        <f t="shared" si="44"/>
        <v>A</v>
      </c>
      <c r="R165" s="6">
        <f t="shared" si="45"/>
        <v>150.24979201316719</v>
      </c>
      <c r="S165" s="6">
        <f t="shared" si="46"/>
        <v>12.019983361053376</v>
      </c>
      <c r="T165" s="6">
        <f t="shared" si="47"/>
        <v>300.49958402633439</v>
      </c>
      <c r="U165" s="6">
        <f t="shared" si="48"/>
        <v>75.124896006583597</v>
      </c>
      <c r="V165" s="6">
        <f t="shared" si="49"/>
        <v>375.62448003291797</v>
      </c>
      <c r="W165">
        <v>12</v>
      </c>
      <c r="X165" t="str">
        <f t="shared" si="50"/>
        <v>OK</v>
      </c>
      <c r="Y165" s="6">
        <f t="shared" si="51"/>
        <v>7</v>
      </c>
      <c r="Z165" s="6">
        <f t="shared" si="52"/>
        <v>35</v>
      </c>
    </row>
    <row r="166" spans="1:26" x14ac:dyDescent="0.3">
      <c r="A166" s="3" t="str">
        <f t="shared" si="36"/>
        <v>SKU165</v>
      </c>
      <c r="B166" s="3">
        <v>989</v>
      </c>
      <c r="C166" s="3">
        <f t="shared" si="38"/>
        <v>1285.7</v>
      </c>
      <c r="D166" s="3">
        <v>71.72</v>
      </c>
      <c r="E166" s="3">
        <v>18</v>
      </c>
      <c r="F166" s="3" t="str" cm="1">
        <f t="array" aca="1" ref="F166" ca="1">INDEX({"Electronics","Clothing","Food","Furniture"}, RANDBETWEEN(1,4))</f>
        <v>Food</v>
      </c>
      <c r="G166" s="3">
        <v>50</v>
      </c>
      <c r="H166" s="3">
        <v>2</v>
      </c>
      <c r="I166" s="3">
        <f t="shared" si="37"/>
        <v>70931.08</v>
      </c>
      <c r="J166" s="3">
        <f t="shared" si="53"/>
        <v>18330025.710000001</v>
      </c>
      <c r="K166" s="4">
        <f t="shared" si="39"/>
        <v>0.62894671543759439</v>
      </c>
      <c r="M166" s="6">
        <f t="shared" si="40"/>
        <v>222.37355957937086</v>
      </c>
      <c r="N166" s="6">
        <f t="shared" si="41"/>
        <v>253.54486782421765</v>
      </c>
      <c r="O166" s="6">
        <f t="shared" si="42"/>
        <v>2.7095890410958905</v>
      </c>
      <c r="P166" s="6">
        <f t="shared" si="43"/>
        <v>48.772602739726025</v>
      </c>
      <c r="Q166" t="str">
        <f t="shared" si="44"/>
        <v>A</v>
      </c>
      <c r="R166" s="6">
        <f t="shared" si="45"/>
        <v>111.18677978968543</v>
      </c>
      <c r="S166" s="6">
        <f t="shared" si="46"/>
        <v>8.8949423831748344</v>
      </c>
      <c r="T166" s="6">
        <f t="shared" si="47"/>
        <v>222.37355957937086</v>
      </c>
      <c r="U166" s="6">
        <f t="shared" si="48"/>
        <v>55.593389894842716</v>
      </c>
      <c r="V166" s="6">
        <f t="shared" si="49"/>
        <v>277.96694947421361</v>
      </c>
      <c r="W166">
        <v>85</v>
      </c>
      <c r="X166" t="str">
        <f t="shared" si="50"/>
        <v>OK</v>
      </c>
      <c r="Y166" s="6">
        <f t="shared" si="51"/>
        <v>23</v>
      </c>
      <c r="Z166" s="6">
        <f t="shared" si="52"/>
        <v>69</v>
      </c>
    </row>
    <row r="167" spans="1:26" x14ac:dyDescent="0.3">
      <c r="A167" s="3" t="str">
        <f t="shared" si="36"/>
        <v>SKU166</v>
      </c>
      <c r="B167" s="3">
        <v>1188</v>
      </c>
      <c r="C167" s="3">
        <f t="shared" si="38"/>
        <v>1544.4</v>
      </c>
      <c r="D167" s="3">
        <v>59.21</v>
      </c>
      <c r="E167" s="3">
        <v>18</v>
      </c>
      <c r="F167" s="3" t="str" cm="1">
        <f t="array" aca="1" ref="F167" ca="1">INDEX({"Electronics","Clothing","Food","Furniture"}, RANDBETWEEN(1,4))</f>
        <v>Food</v>
      </c>
      <c r="G167" s="3">
        <v>50</v>
      </c>
      <c r="H167" s="3">
        <v>2</v>
      </c>
      <c r="I167" s="3">
        <f t="shared" si="37"/>
        <v>70341.48</v>
      </c>
      <c r="J167" s="3">
        <f t="shared" si="53"/>
        <v>18400367.190000001</v>
      </c>
      <c r="K167" s="4">
        <f t="shared" si="39"/>
        <v>0.63136029867555366</v>
      </c>
      <c r="M167" s="6">
        <f t="shared" si="40"/>
        <v>243.72115213907881</v>
      </c>
      <c r="N167" s="6">
        <f t="shared" si="41"/>
        <v>277.88486824582588</v>
      </c>
      <c r="O167" s="6">
        <f t="shared" si="42"/>
        <v>3.2547945205479452</v>
      </c>
      <c r="P167" s="6">
        <f t="shared" si="43"/>
        <v>58.586301369863016</v>
      </c>
      <c r="Q167" t="str">
        <f t="shared" si="44"/>
        <v>A</v>
      </c>
      <c r="R167" s="6">
        <f t="shared" si="45"/>
        <v>121.86057606953941</v>
      </c>
      <c r="S167" s="6">
        <f t="shared" si="46"/>
        <v>9.7488460855631516</v>
      </c>
      <c r="T167" s="6">
        <f t="shared" si="47"/>
        <v>243.72115213907878</v>
      </c>
      <c r="U167" s="6">
        <f t="shared" si="48"/>
        <v>60.930288034769703</v>
      </c>
      <c r="V167" s="6">
        <f t="shared" si="49"/>
        <v>304.65144017384847</v>
      </c>
      <c r="W167">
        <v>78</v>
      </c>
      <c r="X167" t="str">
        <f t="shared" si="50"/>
        <v>OK</v>
      </c>
      <c r="Y167" s="6">
        <f t="shared" si="51"/>
        <v>23</v>
      </c>
      <c r="Z167" s="6">
        <f t="shared" si="52"/>
        <v>69</v>
      </c>
    </row>
    <row r="168" spans="1:26" x14ac:dyDescent="0.3">
      <c r="A168" s="3" t="str">
        <f t="shared" si="36"/>
        <v>SKU167</v>
      </c>
      <c r="B168" s="3">
        <v>874</v>
      </c>
      <c r="C168" s="3">
        <f t="shared" si="38"/>
        <v>1136.2</v>
      </c>
      <c r="D168" s="3">
        <v>80.39</v>
      </c>
      <c r="E168" s="3">
        <v>21</v>
      </c>
      <c r="F168" s="3" t="str" cm="1">
        <f t="array" aca="1" ref="F168" ca="1">INDEX({"Electronics","Clothing","Food","Furniture"}, RANDBETWEEN(1,4))</f>
        <v>Clothing</v>
      </c>
      <c r="G168" s="3">
        <v>50</v>
      </c>
      <c r="H168" s="3">
        <v>2</v>
      </c>
      <c r="I168" s="3">
        <f t="shared" si="37"/>
        <v>70260.86</v>
      </c>
      <c r="J168" s="3">
        <f t="shared" si="53"/>
        <v>18470628.050000001</v>
      </c>
      <c r="K168" s="4">
        <f t="shared" si="39"/>
        <v>0.63377111564984268</v>
      </c>
      <c r="M168" s="6">
        <f t="shared" si="40"/>
        <v>209.04544960366871</v>
      </c>
      <c r="N168" s="6">
        <f t="shared" si="41"/>
        <v>238.34848436690342</v>
      </c>
      <c r="O168" s="6">
        <f t="shared" si="42"/>
        <v>2.3945205479452056</v>
      </c>
      <c r="P168" s="6">
        <f t="shared" si="43"/>
        <v>50.284931506849318</v>
      </c>
      <c r="Q168" t="str">
        <f t="shared" si="44"/>
        <v>A</v>
      </c>
      <c r="R168" s="6">
        <f t="shared" si="45"/>
        <v>104.52272480183436</v>
      </c>
      <c r="S168" s="6">
        <f t="shared" si="46"/>
        <v>8.3618179841467501</v>
      </c>
      <c r="T168" s="6">
        <f t="shared" si="47"/>
        <v>209.04544960366874</v>
      </c>
      <c r="U168" s="6">
        <f t="shared" si="48"/>
        <v>52.261362400917179</v>
      </c>
      <c r="V168" s="6">
        <f t="shared" si="49"/>
        <v>261.30681200458594</v>
      </c>
      <c r="W168">
        <v>54</v>
      </c>
      <c r="X168" t="str">
        <f t="shared" si="50"/>
        <v>OK</v>
      </c>
      <c r="Y168" s="6">
        <f t="shared" si="51"/>
        <v>26</v>
      </c>
      <c r="Z168" s="6">
        <f t="shared" si="52"/>
        <v>52</v>
      </c>
    </row>
    <row r="169" spans="1:26" x14ac:dyDescent="0.3">
      <c r="A169" s="3" t="str">
        <f t="shared" si="36"/>
        <v>SKU168</v>
      </c>
      <c r="B169" s="3">
        <v>1294</v>
      </c>
      <c r="C169" s="3">
        <f t="shared" si="38"/>
        <v>1682.2</v>
      </c>
      <c r="D169" s="3">
        <v>54.16</v>
      </c>
      <c r="E169" s="3">
        <v>21</v>
      </c>
      <c r="F169" s="3" t="str" cm="1">
        <f t="array" aca="1" ref="F169" ca="1">INDEX({"Electronics","Clothing","Food","Furniture"}, RANDBETWEEN(1,4))</f>
        <v>Clothing</v>
      </c>
      <c r="G169" s="3">
        <v>50</v>
      </c>
      <c r="H169" s="3">
        <v>2</v>
      </c>
      <c r="I169" s="3">
        <f t="shared" si="37"/>
        <v>70083.039999999994</v>
      </c>
      <c r="J169" s="3">
        <f t="shared" si="53"/>
        <v>18540711.09</v>
      </c>
      <c r="K169" s="4">
        <f t="shared" si="39"/>
        <v>0.63617583119761367</v>
      </c>
      <c r="M169" s="6">
        <f t="shared" si="40"/>
        <v>254.36194683953809</v>
      </c>
      <c r="N169" s="6">
        <f t="shared" si="41"/>
        <v>290.01724086681469</v>
      </c>
      <c r="O169" s="6">
        <f t="shared" si="42"/>
        <v>3.5452054794520547</v>
      </c>
      <c r="P169" s="6">
        <f t="shared" si="43"/>
        <v>74.449315068493149</v>
      </c>
      <c r="Q169" t="str">
        <f t="shared" si="44"/>
        <v>A</v>
      </c>
      <c r="R169" s="6">
        <f t="shared" si="45"/>
        <v>127.18097341976905</v>
      </c>
      <c r="S169" s="6">
        <f t="shared" si="46"/>
        <v>10.174477873581523</v>
      </c>
      <c r="T169" s="6">
        <f t="shared" si="47"/>
        <v>254.36194683953806</v>
      </c>
      <c r="U169" s="6">
        <f t="shared" si="48"/>
        <v>63.590486709884523</v>
      </c>
      <c r="V169" s="6">
        <f t="shared" si="49"/>
        <v>317.95243354942261</v>
      </c>
      <c r="W169">
        <v>82</v>
      </c>
      <c r="X169" t="str">
        <f t="shared" si="50"/>
        <v>OK</v>
      </c>
      <c r="Y169" s="6">
        <f t="shared" si="51"/>
        <v>26</v>
      </c>
      <c r="Z169" s="6">
        <f t="shared" si="52"/>
        <v>104</v>
      </c>
    </row>
    <row r="170" spans="1:26" x14ac:dyDescent="0.3">
      <c r="A170" s="3" t="str">
        <f t="shared" si="36"/>
        <v>SKU169</v>
      </c>
      <c r="B170" s="3">
        <v>1403</v>
      </c>
      <c r="C170" s="3">
        <f t="shared" si="38"/>
        <v>1823.9</v>
      </c>
      <c r="D170" s="3">
        <v>49.84</v>
      </c>
      <c r="E170" s="3">
        <v>8</v>
      </c>
      <c r="F170" s="3" t="str" cm="1">
        <f t="array" aca="1" ref="F170" ca="1">INDEX({"Electronics","Clothing","Food","Furniture"}, RANDBETWEEN(1,4))</f>
        <v>Clothing</v>
      </c>
      <c r="G170" s="3">
        <v>50</v>
      </c>
      <c r="H170" s="3">
        <v>2</v>
      </c>
      <c r="I170" s="3">
        <f t="shared" si="37"/>
        <v>69925.52</v>
      </c>
      <c r="J170" s="3">
        <f t="shared" si="53"/>
        <v>18610636.609999999</v>
      </c>
      <c r="K170" s="4">
        <f t="shared" si="39"/>
        <v>0.63857514186007902</v>
      </c>
      <c r="M170" s="6">
        <f t="shared" si="40"/>
        <v>264.85845276298056</v>
      </c>
      <c r="N170" s="6">
        <f t="shared" si="41"/>
        <v>301.98509897013133</v>
      </c>
      <c r="O170" s="6">
        <f t="shared" si="42"/>
        <v>3.8438356164383563</v>
      </c>
      <c r="P170" s="6">
        <f t="shared" si="43"/>
        <v>30.75068493150685</v>
      </c>
      <c r="Q170" t="str">
        <f t="shared" si="44"/>
        <v>A</v>
      </c>
      <c r="R170" s="6">
        <f t="shared" si="45"/>
        <v>132.42922638149028</v>
      </c>
      <c r="S170" s="6">
        <f t="shared" si="46"/>
        <v>10.594338110519221</v>
      </c>
      <c r="T170" s="6">
        <f t="shared" si="47"/>
        <v>264.85845276298051</v>
      </c>
      <c r="U170" s="6">
        <f t="shared" si="48"/>
        <v>66.214613190745141</v>
      </c>
      <c r="V170" s="6">
        <f t="shared" si="49"/>
        <v>331.07306595372563</v>
      </c>
      <c r="W170">
        <v>33</v>
      </c>
      <c r="X170" t="str">
        <f t="shared" si="50"/>
        <v>OK</v>
      </c>
      <c r="Y170" s="6">
        <f t="shared" si="51"/>
        <v>13</v>
      </c>
      <c r="Z170" s="6">
        <f t="shared" si="52"/>
        <v>52</v>
      </c>
    </row>
    <row r="171" spans="1:26" x14ac:dyDescent="0.3">
      <c r="A171" s="3" t="str">
        <f t="shared" si="36"/>
        <v>SKU170</v>
      </c>
      <c r="B171" s="3">
        <v>1323</v>
      </c>
      <c r="C171" s="3">
        <f t="shared" si="38"/>
        <v>1719.9</v>
      </c>
      <c r="D171" s="3">
        <v>52.73</v>
      </c>
      <c r="E171" s="3">
        <v>3</v>
      </c>
      <c r="F171" s="3" t="str" cm="1">
        <f t="array" aca="1" ref="F171" ca="1">INDEX({"Electronics","Clothing","Food","Furniture"}, RANDBETWEEN(1,4))</f>
        <v>Furniture</v>
      </c>
      <c r="G171" s="3">
        <v>50</v>
      </c>
      <c r="H171" s="3">
        <v>2</v>
      </c>
      <c r="I171" s="3">
        <f t="shared" si="37"/>
        <v>69761.789999999994</v>
      </c>
      <c r="J171" s="3">
        <f t="shared" si="53"/>
        <v>18680398.399999999</v>
      </c>
      <c r="K171" s="4">
        <f t="shared" si="39"/>
        <v>0.64096883455738984</v>
      </c>
      <c r="M171" s="6">
        <f t="shared" si="40"/>
        <v>257.19642299223369</v>
      </c>
      <c r="N171" s="6">
        <f t="shared" si="41"/>
        <v>293.24904091914777</v>
      </c>
      <c r="O171" s="6">
        <f t="shared" si="42"/>
        <v>3.6246575342465754</v>
      </c>
      <c r="P171" s="6">
        <f t="shared" si="43"/>
        <v>10.873972602739727</v>
      </c>
      <c r="Q171" t="str">
        <f t="shared" si="44"/>
        <v>A</v>
      </c>
      <c r="R171" s="6">
        <f t="shared" si="45"/>
        <v>128.59821149611685</v>
      </c>
      <c r="S171" s="6">
        <f t="shared" si="46"/>
        <v>10.287856919689348</v>
      </c>
      <c r="T171" s="6">
        <f t="shared" si="47"/>
        <v>257.19642299223369</v>
      </c>
      <c r="U171" s="6">
        <f t="shared" si="48"/>
        <v>64.299105748058423</v>
      </c>
      <c r="V171" s="6">
        <f t="shared" si="49"/>
        <v>321.49552874029212</v>
      </c>
      <c r="W171">
        <v>44</v>
      </c>
      <c r="X171" t="str">
        <f t="shared" si="50"/>
        <v>OK</v>
      </c>
      <c r="Y171" s="6">
        <f t="shared" si="51"/>
        <v>8</v>
      </c>
      <c r="Z171" s="6">
        <f t="shared" si="52"/>
        <v>32</v>
      </c>
    </row>
    <row r="172" spans="1:26" x14ac:dyDescent="0.3">
      <c r="A172" s="3" t="str">
        <f t="shared" si="36"/>
        <v>SKU171</v>
      </c>
      <c r="B172" s="3">
        <v>1578</v>
      </c>
      <c r="C172" s="3">
        <f t="shared" si="38"/>
        <v>2051.4</v>
      </c>
      <c r="D172" s="3">
        <v>43.91</v>
      </c>
      <c r="E172" s="3">
        <v>25</v>
      </c>
      <c r="F172" s="3" t="str" cm="1">
        <f t="array" aca="1" ref="F172" ca="1">INDEX({"Electronics","Clothing","Food","Furniture"}, RANDBETWEEN(1,4))</f>
        <v>Electronics</v>
      </c>
      <c r="G172" s="3">
        <v>50</v>
      </c>
      <c r="H172" s="3">
        <v>2</v>
      </c>
      <c r="I172" s="3">
        <f t="shared" si="37"/>
        <v>69289.98</v>
      </c>
      <c r="J172" s="3">
        <f t="shared" si="53"/>
        <v>18749688.379999999</v>
      </c>
      <c r="K172" s="4">
        <f t="shared" si="39"/>
        <v>0.64334633833306443</v>
      </c>
      <c r="M172" s="6">
        <f t="shared" si="40"/>
        <v>280.89143810376277</v>
      </c>
      <c r="N172" s="6">
        <f t="shared" si="41"/>
        <v>320.26551484666595</v>
      </c>
      <c r="O172" s="6">
        <f t="shared" si="42"/>
        <v>4.3232876712328769</v>
      </c>
      <c r="P172" s="6">
        <f t="shared" si="43"/>
        <v>108.08219178082193</v>
      </c>
      <c r="Q172" t="str">
        <f t="shared" si="44"/>
        <v>A</v>
      </c>
      <c r="R172" s="6">
        <f t="shared" si="45"/>
        <v>140.44571905188138</v>
      </c>
      <c r="S172" s="6">
        <f t="shared" si="46"/>
        <v>11.235657524150513</v>
      </c>
      <c r="T172" s="6">
        <f t="shared" si="47"/>
        <v>280.89143810376282</v>
      </c>
      <c r="U172" s="6">
        <f t="shared" si="48"/>
        <v>70.222859525940692</v>
      </c>
      <c r="V172" s="6">
        <f t="shared" si="49"/>
        <v>351.11429762970351</v>
      </c>
      <c r="W172">
        <v>98</v>
      </c>
      <c r="X172" t="str">
        <f t="shared" si="50"/>
        <v>ALERT</v>
      </c>
      <c r="Y172" s="6">
        <f t="shared" si="51"/>
        <v>30</v>
      </c>
      <c r="Z172" s="6">
        <f t="shared" si="52"/>
        <v>120</v>
      </c>
    </row>
    <row r="173" spans="1:26" x14ac:dyDescent="0.3">
      <c r="A173" s="3" t="str">
        <f t="shared" si="36"/>
        <v>SKU172</v>
      </c>
      <c r="B173" s="3">
        <v>1363</v>
      </c>
      <c r="C173" s="3">
        <f t="shared" si="38"/>
        <v>1771.9</v>
      </c>
      <c r="D173" s="3">
        <v>50.83</v>
      </c>
      <c r="E173" s="3">
        <v>5</v>
      </c>
      <c r="F173" s="3" t="str" cm="1">
        <f t="array" aca="1" ref="F173" ca="1">INDEX({"Electronics","Clothing","Food","Furniture"}, RANDBETWEEN(1,4))</f>
        <v>Food</v>
      </c>
      <c r="G173" s="3">
        <v>50</v>
      </c>
      <c r="H173" s="3">
        <v>2</v>
      </c>
      <c r="I173" s="3">
        <f t="shared" si="37"/>
        <v>69281.289999999994</v>
      </c>
      <c r="J173" s="3">
        <f t="shared" si="53"/>
        <v>18818969.669999998</v>
      </c>
      <c r="K173" s="4">
        <f t="shared" si="39"/>
        <v>0.64572354393420039</v>
      </c>
      <c r="M173" s="6">
        <f t="shared" si="40"/>
        <v>261.05554964413227</v>
      </c>
      <c r="N173" s="6">
        <f t="shared" si="41"/>
        <v>297.64912228998759</v>
      </c>
      <c r="O173" s="6">
        <f t="shared" si="42"/>
        <v>3.7342465753424658</v>
      </c>
      <c r="P173" s="6">
        <f t="shared" si="43"/>
        <v>18.671232876712331</v>
      </c>
      <c r="Q173" t="str">
        <f t="shared" si="44"/>
        <v>A</v>
      </c>
      <c r="R173" s="6">
        <f t="shared" si="45"/>
        <v>130.52777482206614</v>
      </c>
      <c r="S173" s="6">
        <f t="shared" si="46"/>
        <v>10.44222198576529</v>
      </c>
      <c r="T173" s="6">
        <f t="shared" si="47"/>
        <v>261.05554964413227</v>
      </c>
      <c r="U173" s="6">
        <f t="shared" si="48"/>
        <v>65.263887411033068</v>
      </c>
      <c r="V173" s="6">
        <f t="shared" si="49"/>
        <v>326.31943705516534</v>
      </c>
      <c r="W173">
        <v>5</v>
      </c>
      <c r="X173" t="str">
        <f t="shared" si="50"/>
        <v>ALERT</v>
      </c>
      <c r="Y173" s="6">
        <f t="shared" si="51"/>
        <v>10</v>
      </c>
      <c r="Z173" s="6">
        <f t="shared" si="52"/>
        <v>40</v>
      </c>
    </row>
    <row r="174" spans="1:26" x14ac:dyDescent="0.3">
      <c r="A174" s="3" t="str">
        <f t="shared" si="36"/>
        <v>SKU173</v>
      </c>
      <c r="B174" s="3">
        <v>691</v>
      </c>
      <c r="C174" s="3">
        <f t="shared" si="38"/>
        <v>898.30000000000007</v>
      </c>
      <c r="D174" s="3">
        <v>99.75</v>
      </c>
      <c r="E174" s="3">
        <v>30</v>
      </c>
      <c r="F174" s="3" t="str" cm="1">
        <f t="array" aca="1" ref="F174" ca="1">INDEX({"Electronics","Clothing","Food","Furniture"}, RANDBETWEEN(1,4))</f>
        <v>Electronics</v>
      </c>
      <c r="G174" s="3">
        <v>50</v>
      </c>
      <c r="H174" s="3">
        <v>2</v>
      </c>
      <c r="I174" s="3">
        <f t="shared" si="37"/>
        <v>68927.25</v>
      </c>
      <c r="J174" s="3">
        <f t="shared" si="53"/>
        <v>18887896.919999998</v>
      </c>
      <c r="K174" s="4">
        <f t="shared" si="39"/>
        <v>0.6480886015821008</v>
      </c>
      <c r="M174" s="6">
        <f t="shared" si="40"/>
        <v>185.87630295441105</v>
      </c>
      <c r="N174" s="6">
        <f t="shared" si="41"/>
        <v>211.93159273690179</v>
      </c>
      <c r="O174" s="6">
        <f t="shared" si="42"/>
        <v>1.893150684931507</v>
      </c>
      <c r="P174" s="6">
        <f t="shared" si="43"/>
        <v>56.794520547945211</v>
      </c>
      <c r="Q174" t="str">
        <f t="shared" si="44"/>
        <v>A</v>
      </c>
      <c r="R174" s="6">
        <f t="shared" si="45"/>
        <v>92.938151477205523</v>
      </c>
      <c r="S174" s="6">
        <f t="shared" si="46"/>
        <v>7.4350521181764426</v>
      </c>
      <c r="T174" s="6">
        <f t="shared" si="47"/>
        <v>185.87630295441107</v>
      </c>
      <c r="U174" s="6">
        <f t="shared" si="48"/>
        <v>46.469075738602761</v>
      </c>
      <c r="V174" s="6">
        <f t="shared" si="49"/>
        <v>232.34537869301383</v>
      </c>
      <c r="W174">
        <v>68</v>
      </c>
      <c r="X174" t="str">
        <f t="shared" si="50"/>
        <v>OK</v>
      </c>
      <c r="Y174" s="6">
        <f t="shared" si="51"/>
        <v>35</v>
      </c>
      <c r="Z174" s="6">
        <f t="shared" si="52"/>
        <v>70</v>
      </c>
    </row>
    <row r="175" spans="1:26" x14ac:dyDescent="0.3">
      <c r="A175" s="3" t="str">
        <f t="shared" si="36"/>
        <v>SKU174</v>
      </c>
      <c r="B175" s="3">
        <v>808</v>
      </c>
      <c r="C175" s="3">
        <f t="shared" si="38"/>
        <v>1050.4000000000001</v>
      </c>
      <c r="D175" s="3">
        <v>84.88</v>
      </c>
      <c r="E175" s="3">
        <v>5</v>
      </c>
      <c r="F175" s="3" t="str" cm="1">
        <f t="array" aca="1" ref="F175" ca="1">INDEX({"Electronics","Clothing","Food","Furniture"}, RANDBETWEEN(1,4))</f>
        <v>Furniture</v>
      </c>
      <c r="G175" s="3">
        <v>50</v>
      </c>
      <c r="H175" s="3">
        <v>2</v>
      </c>
      <c r="I175" s="3">
        <f t="shared" si="37"/>
        <v>68583.039999999994</v>
      </c>
      <c r="J175" s="3">
        <f t="shared" si="53"/>
        <v>18956479.959999997</v>
      </c>
      <c r="K175" s="4">
        <f t="shared" si="39"/>
        <v>0.65044184856741138</v>
      </c>
      <c r="M175" s="6">
        <f t="shared" si="40"/>
        <v>200.9975124224178</v>
      </c>
      <c r="N175" s="6">
        <f t="shared" si="41"/>
        <v>229.1724241700995</v>
      </c>
      <c r="O175" s="6">
        <f t="shared" si="42"/>
        <v>2.2136986301369861</v>
      </c>
      <c r="P175" s="6">
        <f t="shared" si="43"/>
        <v>11.06849315068493</v>
      </c>
      <c r="Q175" t="str">
        <f t="shared" si="44"/>
        <v>A</v>
      </c>
      <c r="R175" s="6">
        <f t="shared" si="45"/>
        <v>100.4987562112089</v>
      </c>
      <c r="S175" s="6">
        <f t="shared" si="46"/>
        <v>8.0399004968967116</v>
      </c>
      <c r="T175" s="6">
        <f t="shared" si="47"/>
        <v>200.9975124224178</v>
      </c>
      <c r="U175" s="6">
        <f t="shared" si="48"/>
        <v>50.24937810560445</v>
      </c>
      <c r="V175" s="6">
        <f t="shared" si="49"/>
        <v>251.24689052802225</v>
      </c>
      <c r="W175">
        <v>53</v>
      </c>
      <c r="X175" t="str">
        <f t="shared" si="50"/>
        <v>OK</v>
      </c>
      <c r="Y175" s="6">
        <f t="shared" si="51"/>
        <v>10</v>
      </c>
      <c r="Z175" s="6">
        <f t="shared" si="52"/>
        <v>20</v>
      </c>
    </row>
    <row r="176" spans="1:26" x14ac:dyDescent="0.3">
      <c r="A176" s="3" t="str">
        <f t="shared" si="36"/>
        <v>SKU175</v>
      </c>
      <c r="B176" s="3">
        <v>1708</v>
      </c>
      <c r="C176" s="3">
        <f t="shared" si="38"/>
        <v>2220.4</v>
      </c>
      <c r="D176" s="3">
        <v>39.96</v>
      </c>
      <c r="E176" s="3">
        <v>16</v>
      </c>
      <c r="F176" s="3" t="str" cm="1">
        <f t="array" aca="1" ref="F176" ca="1">INDEX({"Electronics","Clothing","Food","Furniture"}, RANDBETWEEN(1,4))</f>
        <v>Electronics</v>
      </c>
      <c r="G176" s="3">
        <v>50</v>
      </c>
      <c r="H176" s="3">
        <v>2</v>
      </c>
      <c r="I176" s="3">
        <f t="shared" si="37"/>
        <v>68251.680000000008</v>
      </c>
      <c r="J176" s="3">
        <f t="shared" si="53"/>
        <v>19024731.639999997</v>
      </c>
      <c r="K176" s="4">
        <f t="shared" si="39"/>
        <v>0.65278372580415089</v>
      </c>
      <c r="M176" s="6">
        <f t="shared" si="40"/>
        <v>292.23278392404916</v>
      </c>
      <c r="N176" s="6">
        <f t="shared" si="41"/>
        <v>333.1966386385073</v>
      </c>
      <c r="O176" s="6">
        <f t="shared" si="42"/>
        <v>4.6794520547945204</v>
      </c>
      <c r="P176" s="6">
        <f t="shared" si="43"/>
        <v>74.871232876712327</v>
      </c>
      <c r="Q176" t="str">
        <f t="shared" si="44"/>
        <v>A</v>
      </c>
      <c r="R176" s="6">
        <f t="shared" si="45"/>
        <v>146.11639196202458</v>
      </c>
      <c r="S176" s="6">
        <f t="shared" si="46"/>
        <v>11.689311356961966</v>
      </c>
      <c r="T176" s="6">
        <f t="shared" si="47"/>
        <v>292.23278392404916</v>
      </c>
      <c r="U176" s="6">
        <f t="shared" si="48"/>
        <v>73.05819598101229</v>
      </c>
      <c r="V176" s="6">
        <f t="shared" si="49"/>
        <v>365.29097990506148</v>
      </c>
      <c r="W176">
        <v>61</v>
      </c>
      <c r="X176" t="str">
        <f t="shared" si="50"/>
        <v>ALERT</v>
      </c>
      <c r="Y176" s="6">
        <f t="shared" si="51"/>
        <v>21</v>
      </c>
      <c r="Z176" s="6">
        <f t="shared" si="52"/>
        <v>105</v>
      </c>
    </row>
    <row r="177" spans="1:26" x14ac:dyDescent="0.3">
      <c r="A177" s="3" t="str">
        <f t="shared" si="36"/>
        <v>SKU176</v>
      </c>
      <c r="B177" s="3">
        <v>1152</v>
      </c>
      <c r="C177" s="3">
        <f t="shared" si="38"/>
        <v>1497.6000000000001</v>
      </c>
      <c r="D177" s="3">
        <v>59.18</v>
      </c>
      <c r="E177" s="3">
        <v>23</v>
      </c>
      <c r="F177" s="3" t="str" cm="1">
        <f t="array" aca="1" ref="F177" ca="1">INDEX({"Electronics","Clothing","Food","Furniture"}, RANDBETWEEN(1,4))</f>
        <v>Electronics</v>
      </c>
      <c r="G177" s="3">
        <v>50</v>
      </c>
      <c r="H177" s="3">
        <v>2</v>
      </c>
      <c r="I177" s="3">
        <f t="shared" si="37"/>
        <v>68175.360000000001</v>
      </c>
      <c r="J177" s="3">
        <f t="shared" si="53"/>
        <v>19092906.999999996</v>
      </c>
      <c r="K177" s="4">
        <f t="shared" si="39"/>
        <v>0.65512298432043226</v>
      </c>
      <c r="M177" s="6">
        <f t="shared" si="40"/>
        <v>240</v>
      </c>
      <c r="N177" s="6">
        <f t="shared" si="41"/>
        <v>273.64210202379314</v>
      </c>
      <c r="O177" s="6">
        <f t="shared" si="42"/>
        <v>3.1561643835616437</v>
      </c>
      <c r="P177" s="6">
        <f t="shared" si="43"/>
        <v>72.591780821917808</v>
      </c>
      <c r="Q177" t="str">
        <f t="shared" si="44"/>
        <v>A</v>
      </c>
      <c r="R177" s="6">
        <f t="shared" si="45"/>
        <v>120</v>
      </c>
      <c r="S177" s="6">
        <f t="shared" si="46"/>
        <v>9.6</v>
      </c>
      <c r="T177" s="6">
        <f t="shared" si="47"/>
        <v>240</v>
      </c>
      <c r="U177" s="6">
        <f t="shared" si="48"/>
        <v>60</v>
      </c>
      <c r="V177" s="6">
        <f t="shared" si="49"/>
        <v>300</v>
      </c>
      <c r="W177">
        <v>99</v>
      </c>
      <c r="X177" t="str">
        <f t="shared" si="50"/>
        <v>OK</v>
      </c>
      <c r="Y177" s="6">
        <f t="shared" si="51"/>
        <v>28</v>
      </c>
      <c r="Z177" s="6">
        <f t="shared" si="52"/>
        <v>84</v>
      </c>
    </row>
    <row r="178" spans="1:26" x14ac:dyDescent="0.3">
      <c r="A178" s="3" t="str">
        <f t="shared" si="36"/>
        <v>SKU177</v>
      </c>
      <c r="B178" s="3">
        <v>1049</v>
      </c>
      <c r="C178" s="3">
        <f t="shared" si="38"/>
        <v>1363.7</v>
      </c>
      <c r="D178" s="3">
        <v>64.900000000000006</v>
      </c>
      <c r="E178" s="3">
        <v>24</v>
      </c>
      <c r="F178" s="3" t="str" cm="1">
        <f t="array" aca="1" ref="F178" ca="1">INDEX({"Electronics","Clothing","Food","Furniture"}, RANDBETWEEN(1,4))</f>
        <v>Clothing</v>
      </c>
      <c r="G178" s="3">
        <v>50</v>
      </c>
      <c r="H178" s="3">
        <v>2</v>
      </c>
      <c r="I178" s="3">
        <f t="shared" si="37"/>
        <v>68080.100000000006</v>
      </c>
      <c r="J178" s="3">
        <f t="shared" si="53"/>
        <v>19160987.099999998</v>
      </c>
      <c r="K178" s="4">
        <f t="shared" si="39"/>
        <v>0.65745897423987387</v>
      </c>
      <c r="M178" s="6">
        <f t="shared" si="40"/>
        <v>229.01964981197574</v>
      </c>
      <c r="N178" s="6">
        <f t="shared" si="41"/>
        <v>261.12257658042518</v>
      </c>
      <c r="O178" s="6">
        <f t="shared" si="42"/>
        <v>2.8739726027397259</v>
      </c>
      <c r="P178" s="6">
        <f t="shared" si="43"/>
        <v>68.975342465753414</v>
      </c>
      <c r="Q178" t="str">
        <f t="shared" si="44"/>
        <v>A</v>
      </c>
      <c r="R178" s="6">
        <f t="shared" si="45"/>
        <v>114.50982490598787</v>
      </c>
      <c r="S178" s="6">
        <f t="shared" si="46"/>
        <v>9.1607859924790294</v>
      </c>
      <c r="T178" s="6">
        <f t="shared" si="47"/>
        <v>229.01964981197574</v>
      </c>
      <c r="U178" s="6">
        <f t="shared" si="48"/>
        <v>57.254912452993935</v>
      </c>
      <c r="V178" s="6">
        <f t="shared" si="49"/>
        <v>286.27456226496969</v>
      </c>
      <c r="W178">
        <v>67</v>
      </c>
      <c r="X178" t="str">
        <f t="shared" si="50"/>
        <v>ALERT</v>
      </c>
      <c r="Y178" s="6">
        <f t="shared" si="51"/>
        <v>29</v>
      </c>
      <c r="Z178" s="6">
        <f t="shared" si="52"/>
        <v>87</v>
      </c>
    </row>
    <row r="179" spans="1:26" x14ac:dyDescent="0.3">
      <c r="A179" s="3" t="str">
        <f t="shared" si="36"/>
        <v>SKU178</v>
      </c>
      <c r="B179" s="3">
        <v>782</v>
      </c>
      <c r="C179" s="3">
        <f t="shared" si="38"/>
        <v>1016.6</v>
      </c>
      <c r="D179" s="3">
        <v>85.29</v>
      </c>
      <c r="E179" s="3">
        <v>12</v>
      </c>
      <c r="F179" s="3" t="str" cm="1">
        <f t="array" aca="1" ref="F179" ca="1">INDEX({"Electronics","Clothing","Food","Furniture"}, RANDBETWEEN(1,4))</f>
        <v>Electronics</v>
      </c>
      <c r="G179" s="3">
        <v>50</v>
      </c>
      <c r="H179" s="3">
        <v>2</v>
      </c>
      <c r="I179" s="3">
        <f t="shared" si="37"/>
        <v>66696.78</v>
      </c>
      <c r="J179" s="3">
        <f t="shared" si="53"/>
        <v>19227683.879999999</v>
      </c>
      <c r="K179" s="4">
        <f t="shared" si="39"/>
        <v>0.65974749916476683</v>
      </c>
      <c r="M179" s="6">
        <f t="shared" si="40"/>
        <v>197.73719933285187</v>
      </c>
      <c r="N179" s="6">
        <f t="shared" si="41"/>
        <v>225.45509530724738</v>
      </c>
      <c r="O179" s="6">
        <f t="shared" si="42"/>
        <v>2.1424657534246574</v>
      </c>
      <c r="P179" s="6">
        <f t="shared" si="43"/>
        <v>25.709589041095889</v>
      </c>
      <c r="Q179" t="str">
        <f t="shared" si="44"/>
        <v>A</v>
      </c>
      <c r="R179" s="6">
        <f t="shared" si="45"/>
        <v>98.868599666425936</v>
      </c>
      <c r="S179" s="6">
        <f t="shared" si="46"/>
        <v>7.9094879733140759</v>
      </c>
      <c r="T179" s="6">
        <f t="shared" si="47"/>
        <v>197.7371993328519</v>
      </c>
      <c r="U179" s="6">
        <f t="shared" si="48"/>
        <v>49.434299833212968</v>
      </c>
      <c r="V179" s="6">
        <f t="shared" si="49"/>
        <v>247.17149916606488</v>
      </c>
      <c r="W179">
        <v>12</v>
      </c>
      <c r="X179" t="str">
        <f t="shared" si="50"/>
        <v>ALERT</v>
      </c>
      <c r="Y179" s="6">
        <f t="shared" si="51"/>
        <v>17</v>
      </c>
      <c r="Z179" s="6">
        <f t="shared" si="52"/>
        <v>34</v>
      </c>
    </row>
    <row r="180" spans="1:26" x14ac:dyDescent="0.3">
      <c r="A180" s="3" t="str">
        <f t="shared" si="36"/>
        <v>SKU179</v>
      </c>
      <c r="B180" s="3">
        <v>1746</v>
      </c>
      <c r="C180" s="3">
        <f t="shared" si="38"/>
        <v>2269.8000000000002</v>
      </c>
      <c r="D180" s="3">
        <v>38.119999999999997</v>
      </c>
      <c r="E180" s="3">
        <v>1</v>
      </c>
      <c r="F180" s="3" t="str" cm="1">
        <f t="array" aca="1" ref="F180" ca="1">INDEX({"Electronics","Clothing","Food","Furniture"}, RANDBETWEEN(1,4))</f>
        <v>Furniture</v>
      </c>
      <c r="G180" s="3">
        <v>50</v>
      </c>
      <c r="H180" s="3">
        <v>2</v>
      </c>
      <c r="I180" s="3">
        <f t="shared" si="37"/>
        <v>66557.51999999999</v>
      </c>
      <c r="J180" s="3">
        <f t="shared" si="53"/>
        <v>19294241.399999999</v>
      </c>
      <c r="K180" s="4">
        <f t="shared" si="39"/>
        <v>0.66203124574832095</v>
      </c>
      <c r="M180" s="6">
        <f t="shared" si="40"/>
        <v>295.46573405388312</v>
      </c>
      <c r="N180" s="6">
        <f t="shared" si="41"/>
        <v>336.88276892711508</v>
      </c>
      <c r="O180" s="6">
        <f t="shared" si="42"/>
        <v>4.7835616438356166</v>
      </c>
      <c r="P180" s="6">
        <f t="shared" si="43"/>
        <v>4.7835616438356166</v>
      </c>
      <c r="Q180" t="str">
        <f t="shared" si="44"/>
        <v>A</v>
      </c>
      <c r="R180" s="6">
        <f t="shared" si="45"/>
        <v>147.73286702694156</v>
      </c>
      <c r="S180" s="6">
        <f t="shared" si="46"/>
        <v>11.818629362155326</v>
      </c>
      <c r="T180" s="6">
        <f t="shared" si="47"/>
        <v>295.46573405388312</v>
      </c>
      <c r="U180" s="6">
        <f t="shared" si="48"/>
        <v>73.866433513470781</v>
      </c>
      <c r="V180" s="6">
        <f t="shared" si="49"/>
        <v>369.33216756735391</v>
      </c>
      <c r="W180">
        <v>0</v>
      </c>
      <c r="X180" t="str">
        <f t="shared" si="50"/>
        <v>ALERT</v>
      </c>
      <c r="Y180" s="6">
        <f t="shared" si="51"/>
        <v>6</v>
      </c>
      <c r="Z180" s="6">
        <f t="shared" si="52"/>
        <v>30</v>
      </c>
    </row>
    <row r="181" spans="1:26" x14ac:dyDescent="0.3">
      <c r="A181" s="3" t="str">
        <f t="shared" si="36"/>
        <v>SKU180</v>
      </c>
      <c r="B181" s="3">
        <v>1365</v>
      </c>
      <c r="C181" s="3">
        <f t="shared" si="38"/>
        <v>1774.5</v>
      </c>
      <c r="D181" s="3">
        <v>48.73</v>
      </c>
      <c r="E181" s="3">
        <v>16</v>
      </c>
      <c r="F181" s="3" t="str" cm="1">
        <f t="array" aca="1" ref="F181" ca="1">INDEX({"Electronics","Clothing","Food","Furniture"}, RANDBETWEEN(1,4))</f>
        <v>Electronics</v>
      </c>
      <c r="G181" s="3">
        <v>50</v>
      </c>
      <c r="H181" s="3">
        <v>2</v>
      </c>
      <c r="I181" s="3">
        <f t="shared" si="37"/>
        <v>66516.45</v>
      </c>
      <c r="J181" s="3">
        <f t="shared" si="53"/>
        <v>19360757.849999998</v>
      </c>
      <c r="K181" s="4">
        <f t="shared" si="39"/>
        <v>0.66431358312263489</v>
      </c>
      <c r="M181" s="6">
        <f t="shared" si="40"/>
        <v>261.24700955226263</v>
      </c>
      <c r="N181" s="6">
        <f t="shared" si="41"/>
        <v>297.86742017212958</v>
      </c>
      <c r="O181" s="6">
        <f t="shared" si="42"/>
        <v>3.7397260273972601</v>
      </c>
      <c r="P181" s="6">
        <f t="shared" si="43"/>
        <v>59.835616438356162</v>
      </c>
      <c r="Q181" t="str">
        <f t="shared" si="44"/>
        <v>A</v>
      </c>
      <c r="R181" s="6">
        <f t="shared" si="45"/>
        <v>130.62350477613131</v>
      </c>
      <c r="S181" s="6">
        <f t="shared" si="46"/>
        <v>10.449880382090505</v>
      </c>
      <c r="T181" s="6">
        <f t="shared" si="47"/>
        <v>261.24700955226263</v>
      </c>
      <c r="U181" s="6">
        <f t="shared" si="48"/>
        <v>65.311752388065656</v>
      </c>
      <c r="V181" s="6">
        <f t="shared" si="49"/>
        <v>326.55876194032828</v>
      </c>
      <c r="W181">
        <v>86</v>
      </c>
      <c r="X181" t="str">
        <f t="shared" si="50"/>
        <v>OK</v>
      </c>
      <c r="Y181" s="6">
        <f t="shared" si="51"/>
        <v>21</v>
      </c>
      <c r="Z181" s="6">
        <f t="shared" si="52"/>
        <v>84</v>
      </c>
    </row>
    <row r="182" spans="1:26" x14ac:dyDescent="0.3">
      <c r="A182" s="3" t="str">
        <f t="shared" si="36"/>
        <v>SKU181</v>
      </c>
      <c r="B182" s="3">
        <v>903</v>
      </c>
      <c r="C182" s="3">
        <f t="shared" si="38"/>
        <v>1173.9000000000001</v>
      </c>
      <c r="D182" s="3">
        <v>73.03</v>
      </c>
      <c r="E182" s="3">
        <v>6</v>
      </c>
      <c r="F182" s="3" t="str" cm="1">
        <f t="array" aca="1" ref="F182" ca="1">INDEX({"Electronics","Clothing","Food","Furniture"}, RANDBETWEEN(1,4))</f>
        <v>Electronics</v>
      </c>
      <c r="G182" s="3">
        <v>50</v>
      </c>
      <c r="H182" s="3">
        <v>2</v>
      </c>
      <c r="I182" s="3">
        <f t="shared" si="37"/>
        <v>65946.09</v>
      </c>
      <c r="J182" s="3">
        <f t="shared" si="53"/>
        <v>19426703.939999998</v>
      </c>
      <c r="K182" s="4">
        <f t="shared" si="39"/>
        <v>0.66657635009075888</v>
      </c>
      <c r="M182" s="6">
        <f t="shared" si="40"/>
        <v>212.48529360875779</v>
      </c>
      <c r="N182" s="6">
        <f t="shared" si="41"/>
        <v>242.27050996768057</v>
      </c>
      <c r="O182" s="6">
        <f t="shared" si="42"/>
        <v>2.473972602739726</v>
      </c>
      <c r="P182" s="6">
        <f t="shared" si="43"/>
        <v>14.843835616438355</v>
      </c>
      <c r="Q182" t="str">
        <f t="shared" si="44"/>
        <v>A</v>
      </c>
      <c r="R182" s="6">
        <f t="shared" si="45"/>
        <v>106.24264680437889</v>
      </c>
      <c r="S182" s="6">
        <f t="shared" si="46"/>
        <v>8.4994117443503114</v>
      </c>
      <c r="T182" s="6">
        <f t="shared" si="47"/>
        <v>212.48529360875779</v>
      </c>
      <c r="U182" s="6">
        <f t="shared" si="48"/>
        <v>53.121323402189446</v>
      </c>
      <c r="V182" s="6">
        <f t="shared" si="49"/>
        <v>265.60661701094722</v>
      </c>
      <c r="W182">
        <v>61</v>
      </c>
      <c r="X182" t="str">
        <f t="shared" si="50"/>
        <v>OK</v>
      </c>
      <c r="Y182" s="6">
        <f t="shared" si="51"/>
        <v>11</v>
      </c>
      <c r="Z182" s="6">
        <f t="shared" si="52"/>
        <v>22</v>
      </c>
    </row>
    <row r="183" spans="1:26" x14ac:dyDescent="0.3">
      <c r="A183" s="3" t="str">
        <f t="shared" si="36"/>
        <v>SKU182</v>
      </c>
      <c r="B183" s="3">
        <v>1453</v>
      </c>
      <c r="C183" s="3">
        <f t="shared" si="38"/>
        <v>1888.9</v>
      </c>
      <c r="D183" s="3">
        <v>44.7</v>
      </c>
      <c r="E183" s="3">
        <v>6</v>
      </c>
      <c r="F183" s="3" t="str" cm="1">
        <f t="array" aca="1" ref="F183" ca="1">INDEX({"Electronics","Clothing","Food","Furniture"}, RANDBETWEEN(1,4))</f>
        <v>Food</v>
      </c>
      <c r="G183" s="3">
        <v>50</v>
      </c>
      <c r="H183" s="3">
        <v>2</v>
      </c>
      <c r="I183" s="3">
        <f t="shared" si="37"/>
        <v>64949.100000000006</v>
      </c>
      <c r="J183" s="3">
        <f t="shared" si="53"/>
        <v>19491653.039999999</v>
      </c>
      <c r="K183" s="4">
        <f t="shared" si="39"/>
        <v>0.66880490796415804</v>
      </c>
      <c r="M183" s="6">
        <f t="shared" si="40"/>
        <v>269.53663943887108</v>
      </c>
      <c r="N183" s="6">
        <f t="shared" si="41"/>
        <v>307.31905245200795</v>
      </c>
      <c r="O183" s="6">
        <f t="shared" si="42"/>
        <v>3.9808219178082194</v>
      </c>
      <c r="P183" s="6">
        <f t="shared" si="43"/>
        <v>23.884931506849316</v>
      </c>
      <c r="Q183" t="str">
        <f t="shared" si="44"/>
        <v>A</v>
      </c>
      <c r="R183" s="6">
        <f t="shared" si="45"/>
        <v>134.76831971943554</v>
      </c>
      <c r="S183" s="6">
        <f t="shared" si="46"/>
        <v>10.781465577554844</v>
      </c>
      <c r="T183" s="6">
        <f t="shared" si="47"/>
        <v>269.53663943887108</v>
      </c>
      <c r="U183" s="6">
        <f t="shared" si="48"/>
        <v>67.384159859717769</v>
      </c>
      <c r="V183" s="6">
        <f t="shared" si="49"/>
        <v>336.92079929858886</v>
      </c>
      <c r="W183">
        <v>59</v>
      </c>
      <c r="X183" t="str">
        <f t="shared" si="50"/>
        <v>OK</v>
      </c>
      <c r="Y183" s="6">
        <f t="shared" si="51"/>
        <v>11</v>
      </c>
      <c r="Z183" s="6">
        <f t="shared" si="52"/>
        <v>44</v>
      </c>
    </row>
    <row r="184" spans="1:26" x14ac:dyDescent="0.3">
      <c r="A184" s="3" t="str">
        <f t="shared" si="36"/>
        <v>SKU183</v>
      </c>
      <c r="B184" s="3">
        <v>1803</v>
      </c>
      <c r="C184" s="3">
        <f t="shared" si="38"/>
        <v>2343.9</v>
      </c>
      <c r="D184" s="3">
        <v>35.979999999999997</v>
      </c>
      <c r="E184" s="3">
        <v>24</v>
      </c>
      <c r="F184" s="3" t="str" cm="1">
        <f t="array" aca="1" ref="F184" ca="1">INDEX({"Electronics","Clothing","Food","Furniture"}, RANDBETWEEN(1,4))</f>
        <v>Food</v>
      </c>
      <c r="G184" s="3">
        <v>50</v>
      </c>
      <c r="H184" s="3">
        <v>2</v>
      </c>
      <c r="I184" s="3">
        <f t="shared" si="37"/>
        <v>64871.939999999995</v>
      </c>
      <c r="J184" s="3">
        <f t="shared" si="53"/>
        <v>19556524.98</v>
      </c>
      <c r="K184" s="4">
        <f t="shared" si="39"/>
        <v>0.67103081829470412</v>
      </c>
      <c r="M184" s="6">
        <f t="shared" si="40"/>
        <v>300.24989592004857</v>
      </c>
      <c r="N184" s="6">
        <f t="shared" si="41"/>
        <v>342.33755271661329</v>
      </c>
      <c r="O184" s="6">
        <f t="shared" si="42"/>
        <v>4.9397260273972599</v>
      </c>
      <c r="P184" s="6">
        <f t="shared" si="43"/>
        <v>118.55342465753424</v>
      </c>
      <c r="Q184" t="str">
        <f t="shared" si="44"/>
        <v>A</v>
      </c>
      <c r="R184" s="6">
        <f t="shared" si="45"/>
        <v>150.12494796002429</v>
      </c>
      <c r="S184" s="6">
        <f t="shared" si="46"/>
        <v>12.009995836801943</v>
      </c>
      <c r="T184" s="6">
        <f t="shared" si="47"/>
        <v>300.24989592004857</v>
      </c>
      <c r="U184" s="6">
        <f t="shared" si="48"/>
        <v>75.062473980012143</v>
      </c>
      <c r="V184" s="6">
        <f t="shared" si="49"/>
        <v>375.31236990006073</v>
      </c>
      <c r="W184">
        <v>137</v>
      </c>
      <c r="X184" t="str">
        <f t="shared" si="50"/>
        <v>OK</v>
      </c>
      <c r="Y184" s="6">
        <f t="shared" si="51"/>
        <v>29</v>
      </c>
      <c r="Z184" s="6">
        <f t="shared" si="52"/>
        <v>145</v>
      </c>
    </row>
    <row r="185" spans="1:26" x14ac:dyDescent="0.3">
      <c r="A185" s="3" t="str">
        <f t="shared" si="36"/>
        <v>SKU184</v>
      </c>
      <c r="B185" s="3">
        <v>703</v>
      </c>
      <c r="C185" s="3">
        <f t="shared" si="38"/>
        <v>913.9</v>
      </c>
      <c r="D185" s="3">
        <v>92.14</v>
      </c>
      <c r="E185" s="3">
        <v>6</v>
      </c>
      <c r="F185" s="3" t="str" cm="1">
        <f t="array" aca="1" ref="F185" ca="1">INDEX({"Electronics","Clothing","Food","Furniture"}, RANDBETWEEN(1,4))</f>
        <v>Furniture</v>
      </c>
      <c r="G185" s="3">
        <v>50</v>
      </c>
      <c r="H185" s="3">
        <v>2</v>
      </c>
      <c r="I185" s="3">
        <f t="shared" si="37"/>
        <v>64774.42</v>
      </c>
      <c r="J185" s="3">
        <f t="shared" si="53"/>
        <v>19621299.400000002</v>
      </c>
      <c r="K185" s="4">
        <f t="shared" si="39"/>
        <v>0.67325338248244293</v>
      </c>
      <c r="M185" s="6">
        <f t="shared" si="40"/>
        <v>187.48333259252675</v>
      </c>
      <c r="N185" s="6">
        <f t="shared" si="41"/>
        <v>213.76388843768726</v>
      </c>
      <c r="O185" s="6">
        <f t="shared" si="42"/>
        <v>1.9260273972602739</v>
      </c>
      <c r="P185" s="6">
        <f t="shared" si="43"/>
        <v>11.556164383561644</v>
      </c>
      <c r="Q185" t="str">
        <f t="shared" si="44"/>
        <v>A</v>
      </c>
      <c r="R185" s="6">
        <f t="shared" si="45"/>
        <v>93.741666296263375</v>
      </c>
      <c r="S185" s="6">
        <f t="shared" si="46"/>
        <v>7.4993333037010697</v>
      </c>
      <c r="T185" s="6">
        <f t="shared" si="47"/>
        <v>187.48333259252675</v>
      </c>
      <c r="U185" s="6">
        <f t="shared" si="48"/>
        <v>46.870833148131688</v>
      </c>
      <c r="V185" s="6">
        <f t="shared" si="49"/>
        <v>234.35416574065843</v>
      </c>
      <c r="W185">
        <v>6</v>
      </c>
      <c r="X185" t="str">
        <f t="shared" si="50"/>
        <v>ALERT</v>
      </c>
      <c r="Y185" s="6">
        <f t="shared" si="51"/>
        <v>11</v>
      </c>
      <c r="Z185" s="6">
        <f t="shared" si="52"/>
        <v>22</v>
      </c>
    </row>
    <row r="186" spans="1:26" x14ac:dyDescent="0.3">
      <c r="A186" s="3" t="str">
        <f t="shared" si="36"/>
        <v>SKU185</v>
      </c>
      <c r="B186" s="3">
        <v>854</v>
      </c>
      <c r="C186" s="3">
        <f t="shared" si="38"/>
        <v>1110.2</v>
      </c>
      <c r="D186" s="3">
        <v>75.56</v>
      </c>
      <c r="E186" s="3">
        <v>12</v>
      </c>
      <c r="F186" s="3" t="str" cm="1">
        <f t="array" aca="1" ref="F186" ca="1">INDEX({"Electronics","Clothing","Food","Furniture"}, RANDBETWEEN(1,4))</f>
        <v>Electronics</v>
      </c>
      <c r="G186" s="3">
        <v>50</v>
      </c>
      <c r="H186" s="3">
        <v>2</v>
      </c>
      <c r="I186" s="3">
        <f t="shared" si="37"/>
        <v>64528.240000000005</v>
      </c>
      <c r="J186" s="3">
        <f t="shared" si="53"/>
        <v>19685827.640000001</v>
      </c>
      <c r="K186" s="4">
        <f t="shared" si="39"/>
        <v>0.67546749964971053</v>
      </c>
      <c r="M186" s="6">
        <f t="shared" si="40"/>
        <v>206.63978319771826</v>
      </c>
      <c r="N186" s="6">
        <f t="shared" si="41"/>
        <v>235.6056026498521</v>
      </c>
      <c r="O186" s="6">
        <f t="shared" si="42"/>
        <v>2.3397260273972602</v>
      </c>
      <c r="P186" s="6">
        <f t="shared" si="43"/>
        <v>28.076712328767123</v>
      </c>
      <c r="Q186" t="str">
        <f t="shared" si="44"/>
        <v>A</v>
      </c>
      <c r="R186" s="6">
        <f t="shared" si="45"/>
        <v>103.31989159885913</v>
      </c>
      <c r="S186" s="6">
        <f t="shared" si="46"/>
        <v>8.2655913279087301</v>
      </c>
      <c r="T186" s="6">
        <f t="shared" si="47"/>
        <v>206.63978319771826</v>
      </c>
      <c r="U186" s="6">
        <f t="shared" si="48"/>
        <v>51.659945799429565</v>
      </c>
      <c r="V186" s="6">
        <f t="shared" si="49"/>
        <v>258.29972899714784</v>
      </c>
      <c r="W186">
        <v>25</v>
      </c>
      <c r="X186" t="str">
        <f t="shared" si="50"/>
        <v>ALERT</v>
      </c>
      <c r="Y186" s="6">
        <f t="shared" si="51"/>
        <v>17</v>
      </c>
      <c r="Z186" s="6">
        <f t="shared" si="52"/>
        <v>34</v>
      </c>
    </row>
    <row r="187" spans="1:26" x14ac:dyDescent="0.3">
      <c r="A187" s="3" t="str">
        <f t="shared" si="36"/>
        <v>SKU186</v>
      </c>
      <c r="B187" s="3">
        <v>771</v>
      </c>
      <c r="C187" s="3">
        <f t="shared" si="38"/>
        <v>1002.3000000000001</v>
      </c>
      <c r="D187" s="3">
        <v>83.46</v>
      </c>
      <c r="E187" s="3">
        <v>25</v>
      </c>
      <c r="F187" s="3" t="str" cm="1">
        <f t="array" aca="1" ref="F187" ca="1">INDEX({"Electronics","Clothing","Food","Furniture"}, RANDBETWEEN(1,4))</f>
        <v>Furniture</v>
      </c>
      <c r="G187" s="3">
        <v>50</v>
      </c>
      <c r="H187" s="3">
        <v>2</v>
      </c>
      <c r="I187" s="3">
        <f t="shared" si="37"/>
        <v>64347.659999999996</v>
      </c>
      <c r="J187" s="3">
        <f t="shared" si="53"/>
        <v>19750175.300000001</v>
      </c>
      <c r="K187" s="4">
        <f t="shared" si="39"/>
        <v>0.67767542068830544</v>
      </c>
      <c r="M187" s="6">
        <f t="shared" si="40"/>
        <v>196.34153916071861</v>
      </c>
      <c r="N187" s="6">
        <f t="shared" si="41"/>
        <v>223.86379787719139</v>
      </c>
      <c r="O187" s="6">
        <f t="shared" si="42"/>
        <v>2.1123287671232878</v>
      </c>
      <c r="P187" s="6">
        <f t="shared" si="43"/>
        <v>52.808219178082197</v>
      </c>
      <c r="Q187" t="str">
        <f t="shared" si="44"/>
        <v>A</v>
      </c>
      <c r="R187" s="6">
        <f t="shared" si="45"/>
        <v>98.170769580359305</v>
      </c>
      <c r="S187" s="6">
        <f t="shared" si="46"/>
        <v>7.8536615664287446</v>
      </c>
      <c r="T187" s="6">
        <f t="shared" si="47"/>
        <v>196.34153916071861</v>
      </c>
      <c r="U187" s="6">
        <f t="shared" si="48"/>
        <v>49.085384790179653</v>
      </c>
      <c r="V187" s="6">
        <f t="shared" si="49"/>
        <v>245.42692395089827</v>
      </c>
      <c r="W187">
        <v>68</v>
      </c>
      <c r="X187" t="str">
        <f t="shared" si="50"/>
        <v>OK</v>
      </c>
      <c r="Y187" s="6">
        <f t="shared" si="51"/>
        <v>30</v>
      </c>
      <c r="Z187" s="6">
        <f t="shared" si="52"/>
        <v>60</v>
      </c>
    </row>
    <row r="188" spans="1:26" x14ac:dyDescent="0.3">
      <c r="A188" s="3" t="str">
        <f t="shared" si="36"/>
        <v>SKU187</v>
      </c>
      <c r="B188" s="3">
        <v>704</v>
      </c>
      <c r="C188" s="3">
        <f t="shared" si="38"/>
        <v>915.2</v>
      </c>
      <c r="D188" s="3">
        <v>91.34</v>
      </c>
      <c r="E188" s="3">
        <v>24</v>
      </c>
      <c r="F188" s="3" t="str" cm="1">
        <f t="array" aca="1" ref="F188" ca="1">INDEX({"Electronics","Clothing","Food","Furniture"}, RANDBETWEEN(1,4))</f>
        <v>Food</v>
      </c>
      <c r="G188" s="3">
        <v>50</v>
      </c>
      <c r="H188" s="3">
        <v>2</v>
      </c>
      <c r="I188" s="3">
        <f t="shared" si="37"/>
        <v>64303.360000000001</v>
      </c>
      <c r="J188" s="3">
        <f t="shared" si="53"/>
        <v>19814478.66</v>
      </c>
      <c r="K188" s="4">
        <f t="shared" si="39"/>
        <v>0.67988182168868905</v>
      </c>
      <c r="M188" s="6">
        <f t="shared" si="40"/>
        <v>187.6166303929372</v>
      </c>
      <c r="N188" s="6">
        <f t="shared" si="41"/>
        <v>213.91587131393501</v>
      </c>
      <c r="O188" s="6">
        <f t="shared" si="42"/>
        <v>1.9287671232876713</v>
      </c>
      <c r="P188" s="6">
        <f t="shared" si="43"/>
        <v>46.290410958904111</v>
      </c>
      <c r="Q188" t="str">
        <f t="shared" si="44"/>
        <v>A</v>
      </c>
      <c r="R188" s="6">
        <f t="shared" si="45"/>
        <v>93.808315196468598</v>
      </c>
      <c r="S188" s="6">
        <f t="shared" si="46"/>
        <v>7.5046652157174867</v>
      </c>
      <c r="T188" s="6">
        <f t="shared" si="47"/>
        <v>187.61663039293717</v>
      </c>
      <c r="U188" s="6">
        <f t="shared" si="48"/>
        <v>46.904157598234299</v>
      </c>
      <c r="V188" s="6">
        <f t="shared" si="49"/>
        <v>234.52078799117146</v>
      </c>
      <c r="W188">
        <v>66</v>
      </c>
      <c r="X188" t="str">
        <f t="shared" si="50"/>
        <v>OK</v>
      </c>
      <c r="Y188" s="6">
        <f t="shared" si="51"/>
        <v>29</v>
      </c>
      <c r="Z188" s="6">
        <f t="shared" si="52"/>
        <v>58</v>
      </c>
    </row>
    <row r="189" spans="1:26" x14ac:dyDescent="0.3">
      <c r="A189" s="3" t="str">
        <f t="shared" si="36"/>
        <v>SKU188</v>
      </c>
      <c r="B189" s="3">
        <v>1215</v>
      </c>
      <c r="C189" s="3">
        <f t="shared" si="38"/>
        <v>1579.5</v>
      </c>
      <c r="D189" s="3">
        <v>52.92</v>
      </c>
      <c r="E189" s="3">
        <v>26</v>
      </c>
      <c r="F189" s="3" t="str" cm="1">
        <f t="array" aca="1" ref="F189" ca="1">INDEX({"Electronics","Clothing","Food","Furniture"}, RANDBETWEEN(1,4))</f>
        <v>Food</v>
      </c>
      <c r="G189" s="3">
        <v>50</v>
      </c>
      <c r="H189" s="3">
        <v>2</v>
      </c>
      <c r="I189" s="3">
        <f t="shared" si="37"/>
        <v>64297.8</v>
      </c>
      <c r="J189" s="3">
        <f t="shared" si="53"/>
        <v>19878776.460000001</v>
      </c>
      <c r="K189" s="4">
        <f t="shared" si="39"/>
        <v>0.68208803191226786</v>
      </c>
      <c r="M189" s="6">
        <f t="shared" si="40"/>
        <v>246.47515087732475</v>
      </c>
      <c r="N189" s="6">
        <f t="shared" si="41"/>
        <v>281.02490992792792</v>
      </c>
      <c r="O189" s="6">
        <f t="shared" si="42"/>
        <v>3.3287671232876712</v>
      </c>
      <c r="P189" s="6">
        <f t="shared" si="43"/>
        <v>86.547945205479451</v>
      </c>
      <c r="Q189" t="str">
        <f t="shared" si="44"/>
        <v>A</v>
      </c>
      <c r="R189" s="6">
        <f t="shared" si="45"/>
        <v>123.23757543866238</v>
      </c>
      <c r="S189" s="6">
        <f t="shared" si="46"/>
        <v>9.8590060350929907</v>
      </c>
      <c r="T189" s="6">
        <f t="shared" si="47"/>
        <v>246.47515087732478</v>
      </c>
      <c r="U189" s="6">
        <f t="shared" si="48"/>
        <v>61.618787719331188</v>
      </c>
      <c r="V189" s="6">
        <f t="shared" si="49"/>
        <v>308.09393859665596</v>
      </c>
      <c r="W189">
        <v>121</v>
      </c>
      <c r="X189" t="str">
        <f t="shared" si="50"/>
        <v>OK</v>
      </c>
      <c r="Y189" s="6">
        <f t="shared" si="51"/>
        <v>31</v>
      </c>
      <c r="Z189" s="6">
        <f t="shared" si="52"/>
        <v>93</v>
      </c>
    </row>
    <row r="190" spans="1:26" x14ac:dyDescent="0.3">
      <c r="A190" s="3" t="str">
        <f t="shared" si="36"/>
        <v>SKU189</v>
      </c>
      <c r="B190" s="3">
        <v>1691</v>
      </c>
      <c r="C190" s="3">
        <f t="shared" si="38"/>
        <v>2198.3000000000002</v>
      </c>
      <c r="D190" s="3">
        <v>37.89</v>
      </c>
      <c r="E190" s="3">
        <v>30</v>
      </c>
      <c r="F190" s="3" t="str" cm="1">
        <f t="array" aca="1" ref="F190" ca="1">INDEX({"Electronics","Clothing","Food","Furniture"}, RANDBETWEEN(1,4))</f>
        <v>Food</v>
      </c>
      <c r="G190" s="3">
        <v>50</v>
      </c>
      <c r="H190" s="3">
        <v>2</v>
      </c>
      <c r="I190" s="3">
        <f t="shared" si="37"/>
        <v>64071.99</v>
      </c>
      <c r="J190" s="3">
        <f t="shared" si="53"/>
        <v>19942848.449999999</v>
      </c>
      <c r="K190" s="4">
        <f t="shared" si="39"/>
        <v>0.68428649405845376</v>
      </c>
      <c r="M190" s="6">
        <f t="shared" si="40"/>
        <v>290.77482697097423</v>
      </c>
      <c r="N190" s="6">
        <f t="shared" si="41"/>
        <v>331.53431194975883</v>
      </c>
      <c r="O190" s="6">
        <f t="shared" si="42"/>
        <v>4.6328767123287671</v>
      </c>
      <c r="P190" s="6">
        <f t="shared" si="43"/>
        <v>138.98630136986301</v>
      </c>
      <c r="Q190" t="str">
        <f t="shared" si="44"/>
        <v>A</v>
      </c>
      <c r="R190" s="6">
        <f t="shared" si="45"/>
        <v>145.38741348548712</v>
      </c>
      <c r="S190" s="6">
        <f t="shared" si="46"/>
        <v>11.630993078838969</v>
      </c>
      <c r="T190" s="6">
        <f t="shared" si="47"/>
        <v>290.77482697097423</v>
      </c>
      <c r="U190" s="6">
        <f t="shared" si="48"/>
        <v>72.693706742743558</v>
      </c>
      <c r="V190" s="6">
        <f t="shared" si="49"/>
        <v>363.46853371371776</v>
      </c>
      <c r="W190">
        <v>154</v>
      </c>
      <c r="X190" t="str">
        <f t="shared" si="50"/>
        <v>OK</v>
      </c>
      <c r="Y190" s="6">
        <f t="shared" si="51"/>
        <v>35</v>
      </c>
      <c r="Z190" s="6">
        <f t="shared" si="52"/>
        <v>175</v>
      </c>
    </row>
    <row r="191" spans="1:26" x14ac:dyDescent="0.3">
      <c r="A191" s="3" t="str">
        <f t="shared" si="36"/>
        <v>SKU190</v>
      </c>
      <c r="B191" s="3">
        <v>1151</v>
      </c>
      <c r="C191" s="3">
        <f t="shared" si="38"/>
        <v>1496.3</v>
      </c>
      <c r="D191" s="3">
        <v>55.64</v>
      </c>
      <c r="E191" s="3">
        <v>17</v>
      </c>
      <c r="F191" s="3" t="str" cm="1">
        <f t="array" aca="1" ref="F191" ca="1">INDEX({"Electronics","Clothing","Food","Furniture"}, RANDBETWEEN(1,4))</f>
        <v>Clothing</v>
      </c>
      <c r="G191" s="3">
        <v>50</v>
      </c>
      <c r="H191" s="3">
        <v>2</v>
      </c>
      <c r="I191" s="3">
        <f t="shared" si="37"/>
        <v>64041.64</v>
      </c>
      <c r="J191" s="3">
        <f t="shared" si="53"/>
        <v>20006890.09</v>
      </c>
      <c r="K191" s="4">
        <f t="shared" si="39"/>
        <v>0.68648391482405924</v>
      </c>
      <c r="M191" s="6">
        <f t="shared" si="40"/>
        <v>239.89581071790312</v>
      </c>
      <c r="N191" s="6">
        <f t="shared" si="41"/>
        <v>273.52330796478753</v>
      </c>
      <c r="O191" s="6">
        <f t="shared" si="42"/>
        <v>3.1534246575342464</v>
      </c>
      <c r="P191" s="6">
        <f t="shared" si="43"/>
        <v>53.608219178082187</v>
      </c>
      <c r="Q191" t="str">
        <f t="shared" si="44"/>
        <v>A</v>
      </c>
      <c r="R191" s="6">
        <f t="shared" si="45"/>
        <v>119.94790535895156</v>
      </c>
      <c r="S191" s="6">
        <f t="shared" si="46"/>
        <v>9.5958324287161254</v>
      </c>
      <c r="T191" s="6">
        <f t="shared" si="47"/>
        <v>239.89581071790315</v>
      </c>
      <c r="U191" s="6">
        <f t="shared" si="48"/>
        <v>59.973952679475779</v>
      </c>
      <c r="V191" s="6">
        <f t="shared" si="49"/>
        <v>299.8697633973789</v>
      </c>
      <c r="W191">
        <v>57</v>
      </c>
      <c r="X191" t="str">
        <f t="shared" si="50"/>
        <v>OK</v>
      </c>
      <c r="Y191" s="6">
        <f t="shared" si="51"/>
        <v>22</v>
      </c>
      <c r="Z191" s="6">
        <f t="shared" si="52"/>
        <v>66</v>
      </c>
    </row>
    <row r="192" spans="1:26" x14ac:dyDescent="0.3">
      <c r="A192" s="3" t="str">
        <f t="shared" si="36"/>
        <v>SKU191</v>
      </c>
      <c r="B192" s="3">
        <v>1464</v>
      </c>
      <c r="C192" s="3">
        <f t="shared" si="38"/>
        <v>1903.2</v>
      </c>
      <c r="D192" s="3">
        <v>43.66</v>
      </c>
      <c r="E192" s="3">
        <v>1</v>
      </c>
      <c r="F192" s="3" t="str" cm="1">
        <f t="array" aca="1" ref="F192" ca="1">INDEX({"Electronics","Clothing","Food","Furniture"}, RANDBETWEEN(1,4))</f>
        <v>Food</v>
      </c>
      <c r="G192" s="3">
        <v>50</v>
      </c>
      <c r="H192" s="3">
        <v>2</v>
      </c>
      <c r="I192" s="3">
        <f t="shared" si="37"/>
        <v>63918.239999999998</v>
      </c>
      <c r="J192" s="3">
        <f t="shared" si="53"/>
        <v>20070808.329999998</v>
      </c>
      <c r="K192" s="4">
        <f t="shared" si="39"/>
        <v>0.68867710144259298</v>
      </c>
      <c r="M192" s="6">
        <f t="shared" si="40"/>
        <v>270.55498516937365</v>
      </c>
      <c r="N192" s="6">
        <f t="shared" si="41"/>
        <v>308.48014522818158</v>
      </c>
      <c r="O192" s="6">
        <f t="shared" si="42"/>
        <v>4.0109589041095894</v>
      </c>
      <c r="P192" s="6">
        <f t="shared" si="43"/>
        <v>4.0109589041095894</v>
      </c>
      <c r="Q192" t="str">
        <f t="shared" si="44"/>
        <v>A</v>
      </c>
      <c r="R192" s="6">
        <f t="shared" si="45"/>
        <v>135.27749258468683</v>
      </c>
      <c r="S192" s="6">
        <f t="shared" si="46"/>
        <v>10.822199406774947</v>
      </c>
      <c r="T192" s="6">
        <f t="shared" si="47"/>
        <v>270.55498516937371</v>
      </c>
      <c r="U192" s="6">
        <f t="shared" si="48"/>
        <v>67.638746292343413</v>
      </c>
      <c r="V192" s="6">
        <f t="shared" si="49"/>
        <v>338.19373146171711</v>
      </c>
      <c r="W192">
        <v>46</v>
      </c>
      <c r="X192" t="str">
        <f t="shared" si="50"/>
        <v>OK</v>
      </c>
      <c r="Y192" s="6">
        <f t="shared" si="51"/>
        <v>6</v>
      </c>
      <c r="Z192" s="6">
        <f t="shared" si="52"/>
        <v>24</v>
      </c>
    </row>
    <row r="193" spans="1:26" x14ac:dyDescent="0.3">
      <c r="A193" s="3" t="str">
        <f t="shared" si="36"/>
        <v>SKU192</v>
      </c>
      <c r="B193" s="3">
        <v>1408</v>
      </c>
      <c r="C193" s="3">
        <f t="shared" si="38"/>
        <v>1830.4</v>
      </c>
      <c r="D193" s="3">
        <v>44.41</v>
      </c>
      <c r="E193" s="3">
        <v>17</v>
      </c>
      <c r="F193" s="3" t="str" cm="1">
        <f t="array" aca="1" ref="F193" ca="1">INDEX({"Electronics","Clothing","Food","Furniture"}, RANDBETWEEN(1,4))</f>
        <v>Clothing</v>
      </c>
      <c r="G193" s="3">
        <v>50</v>
      </c>
      <c r="H193" s="3">
        <v>2</v>
      </c>
      <c r="I193" s="3">
        <f t="shared" si="37"/>
        <v>62529.279999999999</v>
      </c>
      <c r="J193" s="3">
        <f t="shared" si="53"/>
        <v>20133337.609999999</v>
      </c>
      <c r="K193" s="4">
        <f t="shared" si="39"/>
        <v>0.69082262954478346</v>
      </c>
      <c r="M193" s="6">
        <f t="shared" si="40"/>
        <v>265.32998322843201</v>
      </c>
      <c r="N193" s="6">
        <f t="shared" si="41"/>
        <v>302.52272641902459</v>
      </c>
      <c r="O193" s="6">
        <f t="shared" si="42"/>
        <v>3.8575342465753426</v>
      </c>
      <c r="P193" s="6">
        <f t="shared" si="43"/>
        <v>65.578082191780823</v>
      </c>
      <c r="Q193" t="str">
        <f t="shared" si="44"/>
        <v>A</v>
      </c>
      <c r="R193" s="6">
        <f t="shared" si="45"/>
        <v>132.66499161421601</v>
      </c>
      <c r="S193" s="6">
        <f t="shared" si="46"/>
        <v>10.613199329137279</v>
      </c>
      <c r="T193" s="6">
        <f t="shared" si="47"/>
        <v>265.32998322843196</v>
      </c>
      <c r="U193" s="6">
        <f t="shared" si="48"/>
        <v>66.332495807108003</v>
      </c>
      <c r="V193" s="6">
        <f t="shared" si="49"/>
        <v>331.66247903553995</v>
      </c>
      <c r="W193">
        <v>85</v>
      </c>
      <c r="X193" t="str">
        <f t="shared" si="50"/>
        <v>OK</v>
      </c>
      <c r="Y193" s="6">
        <f t="shared" si="51"/>
        <v>22</v>
      </c>
      <c r="Z193" s="6">
        <f t="shared" si="52"/>
        <v>88</v>
      </c>
    </row>
    <row r="194" spans="1:26" x14ac:dyDescent="0.3">
      <c r="A194" s="3" t="str">
        <f t="shared" ref="A194:A257" si="54">"SKU" &amp; TEXT(ROW()-1, "000")</f>
        <v>SKU193</v>
      </c>
      <c r="B194" s="3">
        <v>882</v>
      </c>
      <c r="C194" s="3">
        <f t="shared" si="38"/>
        <v>1146.6000000000001</v>
      </c>
      <c r="D194" s="3">
        <v>70.53</v>
      </c>
      <c r="E194" s="3">
        <v>13</v>
      </c>
      <c r="F194" s="3" t="str" cm="1">
        <f t="array" aca="1" ref="F194" ca="1">INDEX({"Electronics","Clothing","Food","Furniture"}, RANDBETWEEN(1,4))</f>
        <v>Food</v>
      </c>
      <c r="G194" s="3">
        <v>50</v>
      </c>
      <c r="H194" s="3">
        <v>2</v>
      </c>
      <c r="I194" s="3">
        <f t="shared" ref="I194:I257" si="55">B194*D194</f>
        <v>62207.46</v>
      </c>
      <c r="J194" s="3">
        <f t="shared" si="53"/>
        <v>20195545.07</v>
      </c>
      <c r="K194" s="4">
        <f t="shared" si="39"/>
        <v>0.69295711523845982</v>
      </c>
      <c r="M194" s="6">
        <f t="shared" si="40"/>
        <v>210</v>
      </c>
      <c r="N194" s="6">
        <f t="shared" si="41"/>
        <v>239.43683927081898</v>
      </c>
      <c r="O194" s="6">
        <f t="shared" si="42"/>
        <v>2.4164383561643836</v>
      </c>
      <c r="P194" s="6">
        <f t="shared" si="43"/>
        <v>31.413698630136988</v>
      </c>
      <c r="Q194" t="str">
        <f t="shared" si="44"/>
        <v>A</v>
      </c>
      <c r="R194" s="6">
        <f t="shared" si="45"/>
        <v>105</v>
      </c>
      <c r="S194" s="6">
        <f t="shared" si="46"/>
        <v>8.4</v>
      </c>
      <c r="T194" s="6">
        <f t="shared" si="47"/>
        <v>210</v>
      </c>
      <c r="U194" s="6">
        <f t="shared" si="48"/>
        <v>52.5</v>
      </c>
      <c r="V194" s="6">
        <f t="shared" si="49"/>
        <v>262.5</v>
      </c>
      <c r="W194">
        <v>26</v>
      </c>
      <c r="X194" t="str">
        <f t="shared" si="50"/>
        <v>ALERT</v>
      </c>
      <c r="Y194" s="6">
        <f t="shared" si="51"/>
        <v>18</v>
      </c>
      <c r="Z194" s="6">
        <f t="shared" si="52"/>
        <v>36</v>
      </c>
    </row>
    <row r="195" spans="1:26" x14ac:dyDescent="0.3">
      <c r="A195" s="3" t="str">
        <f t="shared" si="54"/>
        <v>SKU194</v>
      </c>
      <c r="B195" s="3">
        <v>797</v>
      </c>
      <c r="C195" s="3">
        <f t="shared" ref="C195:C258" si="56">B195 * 1.3</f>
        <v>1036.1000000000001</v>
      </c>
      <c r="D195" s="3">
        <v>77.83</v>
      </c>
      <c r="E195" s="3">
        <v>24</v>
      </c>
      <c r="F195" s="3" t="str" cm="1">
        <f t="array" aca="1" ref="F195" ca="1">INDEX({"Electronics","Clothing","Food","Furniture"}, RANDBETWEEN(1,4))</f>
        <v>Furniture</v>
      </c>
      <c r="G195" s="3">
        <v>50</v>
      </c>
      <c r="H195" s="3">
        <v>2</v>
      </c>
      <c r="I195" s="3">
        <f t="shared" si="55"/>
        <v>62030.51</v>
      </c>
      <c r="J195" s="3">
        <f t="shared" si="53"/>
        <v>20257575.580000002</v>
      </c>
      <c r="K195" s="4">
        <f t="shared" ref="K195:K258" si="57">J195/$L$2</f>
        <v>0.69508552935738466</v>
      </c>
      <c r="M195" s="6">
        <f t="shared" ref="M195:M258" si="58">SQRT((2 * B195 * G195) / H195)</f>
        <v>199.6246477767713</v>
      </c>
      <c r="N195" s="6">
        <f t="shared" ref="N195:N258" si="59">SQRT((2 * C195 * G195) / H195)</f>
        <v>227.60711763914591</v>
      </c>
      <c r="O195" s="6">
        <f t="shared" ref="O195:O258" si="60">B195 / 365</f>
        <v>2.1835616438356165</v>
      </c>
      <c r="P195" s="6">
        <f t="shared" ref="P195:P258" si="61">E195*O195</f>
        <v>52.405479452054792</v>
      </c>
      <c r="Q195" t="str">
        <f t="shared" ref="Q195:Q258" si="62">IF(K195 &lt;= 0.8, "A", IF(K195 &lt;= 0.95, "B", "C"))</f>
        <v>A</v>
      </c>
      <c r="R195" s="6">
        <f t="shared" ref="R195:R258" si="63">M195/2</f>
        <v>99.812323888385649</v>
      </c>
      <c r="S195" s="6">
        <f t="shared" ref="S195:S258" si="64">B195/R195</f>
        <v>7.9849859110708516</v>
      </c>
      <c r="T195" s="6">
        <f t="shared" ref="T195:T258" si="65">(B195/M195)*G195</f>
        <v>199.6246477767713</v>
      </c>
      <c r="U195" s="6">
        <f t="shared" ref="U195:U258" si="66">R195/H195</f>
        <v>49.906161944192824</v>
      </c>
      <c r="V195" s="6">
        <f t="shared" ref="V195:V258" si="67">T195+U195</f>
        <v>249.53080972096413</v>
      </c>
      <c r="W195">
        <v>54</v>
      </c>
      <c r="X195" t="str">
        <f t="shared" ref="X195:X258" si="68">IF(W195 &lt; P195, "ALERT", "OK")</f>
        <v>OK</v>
      </c>
      <c r="Y195" s="6">
        <f t="shared" ref="Y195:Y258" si="69">E195 + 5</f>
        <v>29</v>
      </c>
      <c r="Z195" s="6">
        <f t="shared" ref="Z195:Z258" si="70">ROUND(Y195, 0) * ROUND(O195, 0)</f>
        <v>58</v>
      </c>
    </row>
    <row r="196" spans="1:26" x14ac:dyDescent="0.3">
      <c r="A196" s="3" t="str">
        <f t="shared" si="54"/>
        <v>SKU195</v>
      </c>
      <c r="B196" s="3">
        <v>1001</v>
      </c>
      <c r="C196" s="3">
        <f t="shared" si="56"/>
        <v>1301.3</v>
      </c>
      <c r="D196" s="3">
        <v>61.85</v>
      </c>
      <c r="E196" s="3">
        <v>7</v>
      </c>
      <c r="F196" s="3" t="str" cm="1">
        <f t="array" aca="1" ref="F196" ca="1">INDEX({"Electronics","Clothing","Food","Furniture"}, RANDBETWEEN(1,4))</f>
        <v>Electronics</v>
      </c>
      <c r="G196" s="3">
        <v>50</v>
      </c>
      <c r="H196" s="3">
        <v>2</v>
      </c>
      <c r="I196" s="3">
        <f t="shared" si="55"/>
        <v>61911.85</v>
      </c>
      <c r="J196" s="3">
        <f t="shared" ref="J196:J259" si="71">SUM(J195+I196)</f>
        <v>20319487.430000003</v>
      </c>
      <c r="K196" s="4">
        <f t="shared" si="57"/>
        <v>0.69720987196989526</v>
      </c>
      <c r="M196" s="6">
        <f t="shared" si="58"/>
        <v>223.71857321197095</v>
      </c>
      <c r="N196" s="6">
        <f t="shared" si="59"/>
        <v>255.07841931453157</v>
      </c>
      <c r="O196" s="6">
        <f t="shared" si="60"/>
        <v>2.7424657534246575</v>
      </c>
      <c r="P196" s="6">
        <f t="shared" si="61"/>
        <v>19.197260273972603</v>
      </c>
      <c r="Q196" t="str">
        <f t="shared" si="62"/>
        <v>A</v>
      </c>
      <c r="R196" s="6">
        <f t="shared" si="63"/>
        <v>111.85928660598547</v>
      </c>
      <c r="S196" s="6">
        <f t="shared" si="64"/>
        <v>8.9487429284788362</v>
      </c>
      <c r="T196" s="6">
        <f t="shared" si="65"/>
        <v>223.71857321197092</v>
      </c>
      <c r="U196" s="6">
        <f t="shared" si="66"/>
        <v>55.929643302992737</v>
      </c>
      <c r="V196" s="6">
        <f t="shared" si="67"/>
        <v>279.64821651496368</v>
      </c>
      <c r="W196">
        <v>13</v>
      </c>
      <c r="X196" t="str">
        <f t="shared" si="68"/>
        <v>ALERT</v>
      </c>
      <c r="Y196" s="6">
        <f t="shared" si="69"/>
        <v>12</v>
      </c>
      <c r="Z196" s="6">
        <f t="shared" si="70"/>
        <v>36</v>
      </c>
    </row>
    <row r="197" spans="1:26" x14ac:dyDescent="0.3">
      <c r="A197" s="3" t="str">
        <f t="shared" si="54"/>
        <v>SKU196</v>
      </c>
      <c r="B197" s="3">
        <v>906</v>
      </c>
      <c r="C197" s="3">
        <f t="shared" si="56"/>
        <v>1177.8</v>
      </c>
      <c r="D197" s="3">
        <v>68.180000000000007</v>
      </c>
      <c r="E197" s="3">
        <v>27</v>
      </c>
      <c r="F197" s="3" t="str" cm="1">
        <f t="array" aca="1" ref="F197" ca="1">INDEX({"Electronics","Clothing","Food","Furniture"}, RANDBETWEEN(1,4))</f>
        <v>Furniture</v>
      </c>
      <c r="G197" s="3">
        <v>50</v>
      </c>
      <c r="H197" s="3">
        <v>2</v>
      </c>
      <c r="I197" s="3">
        <f t="shared" si="55"/>
        <v>61771.080000000009</v>
      </c>
      <c r="J197" s="3">
        <f t="shared" si="71"/>
        <v>20381258.510000002</v>
      </c>
      <c r="K197" s="4">
        <f t="shared" si="57"/>
        <v>0.69932938442938053</v>
      </c>
      <c r="M197" s="6">
        <f t="shared" si="58"/>
        <v>212.83796653792763</v>
      </c>
      <c r="N197" s="6">
        <f t="shared" si="59"/>
        <v>242.67261897461773</v>
      </c>
      <c r="O197" s="6">
        <f t="shared" si="60"/>
        <v>2.4821917808219176</v>
      </c>
      <c r="P197" s="6">
        <f t="shared" si="61"/>
        <v>67.019178082191772</v>
      </c>
      <c r="Q197" t="str">
        <f t="shared" si="62"/>
        <v>A</v>
      </c>
      <c r="R197" s="6">
        <f t="shared" si="63"/>
        <v>106.41898326896381</v>
      </c>
      <c r="S197" s="6">
        <f t="shared" si="64"/>
        <v>8.5135186615171055</v>
      </c>
      <c r="T197" s="6">
        <f t="shared" si="65"/>
        <v>212.83796653792763</v>
      </c>
      <c r="U197" s="6">
        <f t="shared" si="66"/>
        <v>53.209491634481907</v>
      </c>
      <c r="V197" s="6">
        <f t="shared" si="67"/>
        <v>266.04745817240951</v>
      </c>
      <c r="W197">
        <v>115</v>
      </c>
      <c r="X197" t="str">
        <f t="shared" si="68"/>
        <v>OK</v>
      </c>
      <c r="Y197" s="6">
        <f t="shared" si="69"/>
        <v>32</v>
      </c>
      <c r="Z197" s="6">
        <f t="shared" si="70"/>
        <v>64</v>
      </c>
    </row>
    <row r="198" spans="1:26" x14ac:dyDescent="0.3">
      <c r="A198" s="3" t="str">
        <f t="shared" si="54"/>
        <v>SKU197</v>
      </c>
      <c r="B198" s="3">
        <v>1868</v>
      </c>
      <c r="C198" s="3">
        <f t="shared" si="56"/>
        <v>2428.4</v>
      </c>
      <c r="D198" s="3">
        <v>32.99</v>
      </c>
      <c r="E198" s="3">
        <v>27</v>
      </c>
      <c r="F198" s="3" t="str" cm="1">
        <f t="array" aca="1" ref="F198" ca="1">INDEX({"Electronics","Clothing","Food","Furniture"}, RANDBETWEEN(1,4))</f>
        <v>Food</v>
      </c>
      <c r="G198" s="3">
        <v>50</v>
      </c>
      <c r="H198" s="3">
        <v>2</v>
      </c>
      <c r="I198" s="3">
        <f t="shared" si="55"/>
        <v>61625.320000000007</v>
      </c>
      <c r="J198" s="3">
        <f t="shared" si="71"/>
        <v>20442883.830000002</v>
      </c>
      <c r="K198" s="4">
        <f t="shared" si="57"/>
        <v>0.70144389551708985</v>
      </c>
      <c r="M198" s="6">
        <f t="shared" si="58"/>
        <v>305.61413579872249</v>
      </c>
      <c r="N198" s="6">
        <f t="shared" si="59"/>
        <v>348.45372720061414</v>
      </c>
      <c r="O198" s="6">
        <f t="shared" si="60"/>
        <v>5.117808219178082</v>
      </c>
      <c r="P198" s="6">
        <f t="shared" si="61"/>
        <v>138.1808219178082</v>
      </c>
      <c r="Q198" t="str">
        <f t="shared" si="62"/>
        <v>A</v>
      </c>
      <c r="R198" s="6">
        <f t="shared" si="63"/>
        <v>152.80706789936124</v>
      </c>
      <c r="S198" s="6">
        <f t="shared" si="64"/>
        <v>12.224565431948902</v>
      </c>
      <c r="T198" s="6">
        <f t="shared" si="65"/>
        <v>305.61413579872254</v>
      </c>
      <c r="U198" s="6">
        <f t="shared" si="66"/>
        <v>76.403533949680622</v>
      </c>
      <c r="V198" s="6">
        <f t="shared" si="67"/>
        <v>382.01766974840314</v>
      </c>
      <c r="W198">
        <v>51</v>
      </c>
      <c r="X198" t="str">
        <f t="shared" si="68"/>
        <v>ALERT</v>
      </c>
      <c r="Y198" s="6">
        <f t="shared" si="69"/>
        <v>32</v>
      </c>
      <c r="Z198" s="6">
        <f t="shared" si="70"/>
        <v>160</v>
      </c>
    </row>
    <row r="199" spans="1:26" x14ac:dyDescent="0.3">
      <c r="A199" s="3" t="str">
        <f t="shared" si="54"/>
        <v>SKU198</v>
      </c>
      <c r="B199" s="3">
        <v>1843</v>
      </c>
      <c r="C199" s="3">
        <f t="shared" si="56"/>
        <v>2395.9</v>
      </c>
      <c r="D199" s="3">
        <v>33.42</v>
      </c>
      <c r="E199" s="3">
        <v>26</v>
      </c>
      <c r="F199" s="3" t="str" cm="1">
        <f t="array" aca="1" ref="F199" ca="1">INDEX({"Electronics","Clothing","Food","Furniture"}, RANDBETWEEN(1,4))</f>
        <v>Food</v>
      </c>
      <c r="G199" s="3">
        <v>50</v>
      </c>
      <c r="H199" s="3">
        <v>2</v>
      </c>
      <c r="I199" s="3">
        <f t="shared" si="55"/>
        <v>61593.060000000005</v>
      </c>
      <c r="J199" s="3">
        <f t="shared" si="71"/>
        <v>20504476.890000001</v>
      </c>
      <c r="K199" s="4">
        <f t="shared" si="57"/>
        <v>0.7035572996875824</v>
      </c>
      <c r="M199" s="6">
        <f t="shared" si="58"/>
        <v>303.56218473321081</v>
      </c>
      <c r="N199" s="6">
        <f t="shared" si="59"/>
        <v>346.11414302221169</v>
      </c>
      <c r="O199" s="6">
        <f t="shared" si="60"/>
        <v>5.0493150684931507</v>
      </c>
      <c r="P199" s="6">
        <f t="shared" si="61"/>
        <v>131.2821917808219</v>
      </c>
      <c r="Q199" t="str">
        <f t="shared" si="62"/>
        <v>A</v>
      </c>
      <c r="R199" s="6">
        <f t="shared" si="63"/>
        <v>151.78109236660541</v>
      </c>
      <c r="S199" s="6">
        <f t="shared" si="64"/>
        <v>12.142487389328432</v>
      </c>
      <c r="T199" s="6">
        <f t="shared" si="65"/>
        <v>303.56218473321081</v>
      </c>
      <c r="U199" s="6">
        <f t="shared" si="66"/>
        <v>75.890546183302703</v>
      </c>
      <c r="V199" s="6">
        <f t="shared" si="67"/>
        <v>379.45273091651353</v>
      </c>
      <c r="W199">
        <v>38</v>
      </c>
      <c r="X199" t="str">
        <f t="shared" si="68"/>
        <v>ALERT</v>
      </c>
      <c r="Y199" s="6">
        <f t="shared" si="69"/>
        <v>31</v>
      </c>
      <c r="Z199" s="6">
        <f t="shared" si="70"/>
        <v>155</v>
      </c>
    </row>
    <row r="200" spans="1:26" x14ac:dyDescent="0.3">
      <c r="A200" s="3" t="str">
        <f t="shared" si="54"/>
        <v>SKU199</v>
      </c>
      <c r="B200" s="3">
        <v>1313</v>
      </c>
      <c r="C200" s="3">
        <f t="shared" si="56"/>
        <v>1706.9</v>
      </c>
      <c r="D200" s="3">
        <v>46.79</v>
      </c>
      <c r="E200" s="3">
        <v>4</v>
      </c>
      <c r="F200" s="3" t="str" cm="1">
        <f t="array" aca="1" ref="F200" ca="1">INDEX({"Electronics","Clothing","Food","Furniture"}, RANDBETWEEN(1,4))</f>
        <v>Food</v>
      </c>
      <c r="G200" s="3">
        <v>50</v>
      </c>
      <c r="H200" s="3">
        <v>2</v>
      </c>
      <c r="I200" s="3">
        <f t="shared" si="55"/>
        <v>61435.27</v>
      </c>
      <c r="J200" s="3">
        <f t="shared" si="71"/>
        <v>20565912.16</v>
      </c>
      <c r="K200" s="4">
        <f t="shared" si="57"/>
        <v>0.7056652897084279</v>
      </c>
      <c r="M200" s="6">
        <f t="shared" si="58"/>
        <v>256.22255950637913</v>
      </c>
      <c r="N200" s="6">
        <f t="shared" si="59"/>
        <v>292.13866570517501</v>
      </c>
      <c r="O200" s="6">
        <f t="shared" si="60"/>
        <v>3.5972602739726027</v>
      </c>
      <c r="P200" s="6">
        <f t="shared" si="61"/>
        <v>14.389041095890411</v>
      </c>
      <c r="Q200" t="str">
        <f t="shared" si="62"/>
        <v>A</v>
      </c>
      <c r="R200" s="6">
        <f t="shared" si="63"/>
        <v>128.11127975318956</v>
      </c>
      <c r="S200" s="6">
        <f t="shared" si="64"/>
        <v>10.248902380255165</v>
      </c>
      <c r="T200" s="6">
        <f t="shared" si="65"/>
        <v>256.22255950637913</v>
      </c>
      <c r="U200" s="6">
        <f t="shared" si="66"/>
        <v>64.055639876594782</v>
      </c>
      <c r="V200" s="6">
        <f t="shared" si="67"/>
        <v>320.27819938297392</v>
      </c>
      <c r="W200">
        <v>12</v>
      </c>
      <c r="X200" t="str">
        <f t="shared" si="68"/>
        <v>ALERT</v>
      </c>
      <c r="Y200" s="6">
        <f t="shared" si="69"/>
        <v>9</v>
      </c>
      <c r="Z200" s="6">
        <f t="shared" si="70"/>
        <v>36</v>
      </c>
    </row>
    <row r="201" spans="1:26" x14ac:dyDescent="0.3">
      <c r="A201" s="3" t="str">
        <f t="shared" si="54"/>
        <v>SKU200</v>
      </c>
      <c r="B201" s="3">
        <v>1254</v>
      </c>
      <c r="C201" s="3">
        <f t="shared" si="56"/>
        <v>1630.2</v>
      </c>
      <c r="D201" s="3">
        <v>48.89</v>
      </c>
      <c r="E201" s="3">
        <v>27</v>
      </c>
      <c r="F201" s="3" t="str" cm="1">
        <f t="array" aca="1" ref="F201" ca="1">INDEX({"Electronics","Clothing","Food","Furniture"}, RANDBETWEEN(1,4))</f>
        <v>Food</v>
      </c>
      <c r="G201" s="3">
        <v>50</v>
      </c>
      <c r="H201" s="3">
        <v>2</v>
      </c>
      <c r="I201" s="3">
        <f t="shared" si="55"/>
        <v>61308.06</v>
      </c>
      <c r="J201" s="3">
        <f t="shared" si="71"/>
        <v>20627220.219999999</v>
      </c>
      <c r="K201" s="4">
        <f t="shared" si="57"/>
        <v>0.70776891485205295</v>
      </c>
      <c r="M201" s="6">
        <f t="shared" si="58"/>
        <v>250.3996805109783</v>
      </c>
      <c r="N201" s="6">
        <f t="shared" si="59"/>
        <v>285.49956217129301</v>
      </c>
      <c r="O201" s="6">
        <f t="shared" si="60"/>
        <v>3.4356164383561643</v>
      </c>
      <c r="P201" s="6">
        <f t="shared" si="61"/>
        <v>92.761643835616439</v>
      </c>
      <c r="Q201" t="str">
        <f t="shared" si="62"/>
        <v>A</v>
      </c>
      <c r="R201" s="6">
        <f t="shared" si="63"/>
        <v>125.19984025548915</v>
      </c>
      <c r="S201" s="6">
        <f t="shared" si="64"/>
        <v>10.015987220439131</v>
      </c>
      <c r="T201" s="6">
        <f t="shared" si="65"/>
        <v>250.39968051097827</v>
      </c>
      <c r="U201" s="6">
        <f t="shared" si="66"/>
        <v>62.599920127744575</v>
      </c>
      <c r="V201" s="6">
        <f t="shared" si="67"/>
        <v>312.99960063872282</v>
      </c>
      <c r="W201">
        <v>83</v>
      </c>
      <c r="X201" t="str">
        <f t="shared" si="68"/>
        <v>ALERT</v>
      </c>
      <c r="Y201" s="6">
        <f t="shared" si="69"/>
        <v>32</v>
      </c>
      <c r="Z201" s="6">
        <f t="shared" si="70"/>
        <v>96</v>
      </c>
    </row>
    <row r="202" spans="1:26" x14ac:dyDescent="0.3">
      <c r="A202" s="3" t="str">
        <f t="shared" si="54"/>
        <v>SKU201</v>
      </c>
      <c r="B202" s="3">
        <v>923</v>
      </c>
      <c r="C202" s="3">
        <f t="shared" si="56"/>
        <v>1199.9000000000001</v>
      </c>
      <c r="D202" s="3">
        <v>65.52</v>
      </c>
      <c r="E202" s="3">
        <v>17</v>
      </c>
      <c r="F202" s="3" t="str" cm="1">
        <f t="array" aca="1" ref="F202" ca="1">INDEX({"Electronics","Clothing","Food","Furniture"}, RANDBETWEEN(1,4))</f>
        <v>Food</v>
      </c>
      <c r="G202" s="3">
        <v>50</v>
      </c>
      <c r="H202" s="3">
        <v>2</v>
      </c>
      <c r="I202" s="3">
        <f t="shared" si="55"/>
        <v>60474.96</v>
      </c>
      <c r="J202" s="3">
        <f t="shared" si="71"/>
        <v>20687695.18</v>
      </c>
      <c r="K202" s="4">
        <f t="shared" si="57"/>
        <v>0.7098439543560876</v>
      </c>
      <c r="M202" s="6">
        <f t="shared" si="58"/>
        <v>214.82551058940834</v>
      </c>
      <c r="N202" s="6">
        <f t="shared" si="59"/>
        <v>244.93876785841806</v>
      </c>
      <c r="O202" s="6">
        <f t="shared" si="60"/>
        <v>2.5287671232876714</v>
      </c>
      <c r="P202" s="6">
        <f t="shared" si="61"/>
        <v>42.989041095890414</v>
      </c>
      <c r="Q202" t="str">
        <f t="shared" si="62"/>
        <v>A</v>
      </c>
      <c r="R202" s="6">
        <f t="shared" si="63"/>
        <v>107.41275529470417</v>
      </c>
      <c r="S202" s="6">
        <f t="shared" si="64"/>
        <v>8.5930204235763341</v>
      </c>
      <c r="T202" s="6">
        <f t="shared" si="65"/>
        <v>214.82551058940834</v>
      </c>
      <c r="U202" s="6">
        <f t="shared" si="66"/>
        <v>53.706377647352085</v>
      </c>
      <c r="V202" s="6">
        <f t="shared" si="67"/>
        <v>268.53188823676044</v>
      </c>
      <c r="W202">
        <v>34</v>
      </c>
      <c r="X202" t="str">
        <f t="shared" si="68"/>
        <v>ALERT</v>
      </c>
      <c r="Y202" s="6">
        <f t="shared" si="69"/>
        <v>22</v>
      </c>
      <c r="Z202" s="6">
        <f t="shared" si="70"/>
        <v>66</v>
      </c>
    </row>
    <row r="203" spans="1:26" x14ac:dyDescent="0.3">
      <c r="A203" s="3" t="str">
        <f t="shared" si="54"/>
        <v>SKU202</v>
      </c>
      <c r="B203" s="3">
        <v>1338</v>
      </c>
      <c r="C203" s="3">
        <f t="shared" si="56"/>
        <v>1739.4</v>
      </c>
      <c r="D203" s="3">
        <v>45.15</v>
      </c>
      <c r="E203" s="3">
        <v>18</v>
      </c>
      <c r="F203" s="3" t="str" cm="1">
        <f t="array" aca="1" ref="F203" ca="1">INDEX({"Electronics","Clothing","Food","Furniture"}, RANDBETWEEN(1,4))</f>
        <v>Furniture</v>
      </c>
      <c r="G203" s="3">
        <v>50</v>
      </c>
      <c r="H203" s="3">
        <v>2</v>
      </c>
      <c r="I203" s="3">
        <f t="shared" si="55"/>
        <v>60410.7</v>
      </c>
      <c r="J203" s="3">
        <f t="shared" si="71"/>
        <v>20748105.879999999</v>
      </c>
      <c r="K203" s="4">
        <f t="shared" si="57"/>
        <v>0.71191678894690635</v>
      </c>
      <c r="M203" s="6">
        <f t="shared" si="58"/>
        <v>258.65034312755125</v>
      </c>
      <c r="N203" s="6">
        <f t="shared" si="59"/>
        <v>294.90676492749367</v>
      </c>
      <c r="O203" s="6">
        <f t="shared" si="60"/>
        <v>3.6657534246575341</v>
      </c>
      <c r="P203" s="6">
        <f t="shared" si="61"/>
        <v>65.983561643835614</v>
      </c>
      <c r="Q203" t="str">
        <f t="shared" si="62"/>
        <v>A</v>
      </c>
      <c r="R203" s="6">
        <f t="shared" si="63"/>
        <v>129.32517156377563</v>
      </c>
      <c r="S203" s="6">
        <f t="shared" si="64"/>
        <v>10.346013725102051</v>
      </c>
      <c r="T203" s="6">
        <f t="shared" si="65"/>
        <v>258.65034312755125</v>
      </c>
      <c r="U203" s="6">
        <f t="shared" si="66"/>
        <v>64.662585781887813</v>
      </c>
      <c r="V203" s="6">
        <f t="shared" si="67"/>
        <v>323.31292890943905</v>
      </c>
      <c r="W203">
        <v>31</v>
      </c>
      <c r="X203" t="str">
        <f t="shared" si="68"/>
        <v>ALERT</v>
      </c>
      <c r="Y203" s="6">
        <f t="shared" si="69"/>
        <v>23</v>
      </c>
      <c r="Z203" s="6">
        <f t="shared" si="70"/>
        <v>92</v>
      </c>
    </row>
    <row r="204" spans="1:26" x14ac:dyDescent="0.3">
      <c r="A204" s="3" t="str">
        <f t="shared" si="54"/>
        <v>SKU203</v>
      </c>
      <c r="B204" s="3">
        <v>1382</v>
      </c>
      <c r="C204" s="3">
        <f t="shared" si="56"/>
        <v>1796.6000000000001</v>
      </c>
      <c r="D204" s="3">
        <v>43.71</v>
      </c>
      <c r="E204" s="3">
        <v>11</v>
      </c>
      <c r="F204" s="3" t="str" cm="1">
        <f t="array" aca="1" ref="F204" ca="1">INDEX({"Electronics","Clothing","Food","Furniture"}, RANDBETWEEN(1,4))</f>
        <v>Food</v>
      </c>
      <c r="G204" s="3">
        <v>50</v>
      </c>
      <c r="H204" s="3">
        <v>2</v>
      </c>
      <c r="I204" s="3">
        <f t="shared" si="55"/>
        <v>60407.22</v>
      </c>
      <c r="J204" s="3">
        <f t="shared" si="71"/>
        <v>20808513.099999998</v>
      </c>
      <c r="K204" s="4">
        <f t="shared" si="57"/>
        <v>0.7139895041306602</v>
      </c>
      <c r="M204" s="6">
        <f t="shared" si="58"/>
        <v>262.86878856189833</v>
      </c>
      <c r="N204" s="6">
        <f t="shared" si="59"/>
        <v>299.71653274385784</v>
      </c>
      <c r="O204" s="6">
        <f t="shared" si="60"/>
        <v>3.7863013698630139</v>
      </c>
      <c r="P204" s="6">
        <f t="shared" si="61"/>
        <v>41.649315068493152</v>
      </c>
      <c r="Q204" t="str">
        <f t="shared" si="62"/>
        <v>A</v>
      </c>
      <c r="R204" s="6">
        <f t="shared" si="63"/>
        <v>131.43439428094916</v>
      </c>
      <c r="S204" s="6">
        <f t="shared" si="64"/>
        <v>10.514751542475931</v>
      </c>
      <c r="T204" s="6">
        <f t="shared" si="65"/>
        <v>262.86878856189827</v>
      </c>
      <c r="U204" s="6">
        <f t="shared" si="66"/>
        <v>65.717197140474582</v>
      </c>
      <c r="V204" s="6">
        <f t="shared" si="67"/>
        <v>328.58598570237285</v>
      </c>
      <c r="W204">
        <v>50</v>
      </c>
      <c r="X204" t="str">
        <f t="shared" si="68"/>
        <v>OK</v>
      </c>
      <c r="Y204" s="6">
        <f t="shared" si="69"/>
        <v>16</v>
      </c>
      <c r="Z204" s="6">
        <f t="shared" si="70"/>
        <v>64</v>
      </c>
    </row>
    <row r="205" spans="1:26" x14ac:dyDescent="0.3">
      <c r="A205" s="3" t="str">
        <f t="shared" si="54"/>
        <v>SKU204</v>
      </c>
      <c r="B205" s="3">
        <v>1300</v>
      </c>
      <c r="C205" s="3">
        <f t="shared" si="56"/>
        <v>1690</v>
      </c>
      <c r="D205" s="3">
        <v>46.13</v>
      </c>
      <c r="E205" s="3">
        <v>4</v>
      </c>
      <c r="F205" s="3" t="str" cm="1">
        <f t="array" aca="1" ref="F205" ca="1">INDEX({"Electronics","Clothing","Food","Furniture"}, RANDBETWEEN(1,4))</f>
        <v>Food</v>
      </c>
      <c r="G205" s="3">
        <v>50</v>
      </c>
      <c r="H205" s="3">
        <v>2</v>
      </c>
      <c r="I205" s="3">
        <f t="shared" si="55"/>
        <v>59969</v>
      </c>
      <c r="J205" s="3">
        <f t="shared" si="71"/>
        <v>20868482.099999998</v>
      </c>
      <c r="K205" s="4">
        <f t="shared" si="57"/>
        <v>0.71604718294545311</v>
      </c>
      <c r="M205" s="6">
        <f t="shared" si="58"/>
        <v>254.95097567963924</v>
      </c>
      <c r="N205" s="6">
        <f t="shared" si="59"/>
        <v>290.68883707497264</v>
      </c>
      <c r="O205" s="6">
        <f t="shared" si="60"/>
        <v>3.5616438356164384</v>
      </c>
      <c r="P205" s="6">
        <f t="shared" si="61"/>
        <v>14.246575342465754</v>
      </c>
      <c r="Q205" t="str">
        <f t="shared" si="62"/>
        <v>A</v>
      </c>
      <c r="R205" s="6">
        <f t="shared" si="63"/>
        <v>127.47548783981962</v>
      </c>
      <c r="S205" s="6">
        <f t="shared" si="64"/>
        <v>10.198039027185569</v>
      </c>
      <c r="T205" s="6">
        <f t="shared" si="65"/>
        <v>254.95097567963921</v>
      </c>
      <c r="U205" s="6">
        <f t="shared" si="66"/>
        <v>63.737743919909811</v>
      </c>
      <c r="V205" s="6">
        <f t="shared" si="67"/>
        <v>318.68871959954902</v>
      </c>
      <c r="W205">
        <v>28</v>
      </c>
      <c r="X205" t="str">
        <f t="shared" si="68"/>
        <v>OK</v>
      </c>
      <c r="Y205" s="6">
        <f t="shared" si="69"/>
        <v>9</v>
      </c>
      <c r="Z205" s="6">
        <f t="shared" si="70"/>
        <v>36</v>
      </c>
    </row>
    <row r="206" spans="1:26" x14ac:dyDescent="0.3">
      <c r="A206" s="3" t="str">
        <f t="shared" si="54"/>
        <v>SKU205</v>
      </c>
      <c r="B206" s="3">
        <v>660</v>
      </c>
      <c r="C206" s="3">
        <f t="shared" si="56"/>
        <v>858</v>
      </c>
      <c r="D206" s="3">
        <v>90.21</v>
      </c>
      <c r="E206" s="3">
        <v>26</v>
      </c>
      <c r="F206" s="3" t="str" cm="1">
        <f t="array" aca="1" ref="F206" ca="1">INDEX({"Electronics","Clothing","Food","Furniture"}, RANDBETWEEN(1,4))</f>
        <v>Electronics</v>
      </c>
      <c r="G206" s="3">
        <v>50</v>
      </c>
      <c r="H206" s="3">
        <v>2</v>
      </c>
      <c r="I206" s="3">
        <f t="shared" si="55"/>
        <v>59538.6</v>
      </c>
      <c r="J206" s="3">
        <f t="shared" si="71"/>
        <v>20928020.699999999</v>
      </c>
      <c r="K206" s="4">
        <f t="shared" si="57"/>
        <v>0.71809009371405752</v>
      </c>
      <c r="M206" s="6">
        <f t="shared" si="58"/>
        <v>181.65902124584949</v>
      </c>
      <c r="N206" s="6">
        <f t="shared" si="59"/>
        <v>207.12315177207978</v>
      </c>
      <c r="O206" s="6">
        <f t="shared" si="60"/>
        <v>1.8082191780821917</v>
      </c>
      <c r="P206" s="6">
        <f t="shared" si="61"/>
        <v>47.013698630136986</v>
      </c>
      <c r="Q206" t="str">
        <f t="shared" si="62"/>
        <v>A</v>
      </c>
      <c r="R206" s="6">
        <f t="shared" si="63"/>
        <v>90.829510622924744</v>
      </c>
      <c r="S206" s="6">
        <f t="shared" si="64"/>
        <v>7.2663608498339807</v>
      </c>
      <c r="T206" s="6">
        <f t="shared" si="65"/>
        <v>181.65902124584952</v>
      </c>
      <c r="U206" s="6">
        <f t="shared" si="66"/>
        <v>45.414755311462372</v>
      </c>
      <c r="V206" s="6">
        <f t="shared" si="67"/>
        <v>227.07377655731187</v>
      </c>
      <c r="W206">
        <v>8</v>
      </c>
      <c r="X206" t="str">
        <f t="shared" si="68"/>
        <v>ALERT</v>
      </c>
      <c r="Y206" s="6">
        <f t="shared" si="69"/>
        <v>31</v>
      </c>
      <c r="Z206" s="6">
        <f t="shared" si="70"/>
        <v>62</v>
      </c>
    </row>
    <row r="207" spans="1:26" x14ac:dyDescent="0.3">
      <c r="A207" s="3" t="str">
        <f t="shared" si="54"/>
        <v>SKU206</v>
      </c>
      <c r="B207" s="3">
        <v>1502</v>
      </c>
      <c r="C207" s="3">
        <f t="shared" si="56"/>
        <v>1952.6000000000001</v>
      </c>
      <c r="D207" s="3">
        <v>39.5</v>
      </c>
      <c r="E207" s="3">
        <v>19</v>
      </c>
      <c r="F207" s="3" t="str" cm="1">
        <f t="array" aca="1" ref="F207" ca="1">INDEX({"Electronics","Clothing","Food","Furniture"}, RANDBETWEEN(1,4))</f>
        <v>Food</v>
      </c>
      <c r="G207" s="3">
        <v>50</v>
      </c>
      <c r="H207" s="3">
        <v>2</v>
      </c>
      <c r="I207" s="3">
        <f t="shared" si="55"/>
        <v>59329</v>
      </c>
      <c r="J207" s="3">
        <f t="shared" si="71"/>
        <v>20987349.699999999</v>
      </c>
      <c r="K207" s="4">
        <f t="shared" si="57"/>
        <v>0.72012581260886732</v>
      </c>
      <c r="M207" s="6">
        <f t="shared" si="58"/>
        <v>274.04379212089441</v>
      </c>
      <c r="N207" s="6">
        <f t="shared" si="59"/>
        <v>312.45799717722059</v>
      </c>
      <c r="O207" s="6">
        <f t="shared" si="60"/>
        <v>4.1150684931506847</v>
      </c>
      <c r="P207" s="6">
        <f t="shared" si="61"/>
        <v>78.186301369863003</v>
      </c>
      <c r="Q207" t="str">
        <f t="shared" si="62"/>
        <v>A</v>
      </c>
      <c r="R207" s="6">
        <f t="shared" si="63"/>
        <v>137.0218960604472</v>
      </c>
      <c r="S207" s="6">
        <f t="shared" si="64"/>
        <v>10.961751684835779</v>
      </c>
      <c r="T207" s="6">
        <f t="shared" si="65"/>
        <v>274.04379212089447</v>
      </c>
      <c r="U207" s="6">
        <f t="shared" si="66"/>
        <v>68.510948030223602</v>
      </c>
      <c r="V207" s="6">
        <f t="shared" si="67"/>
        <v>342.55474015111804</v>
      </c>
      <c r="W207">
        <v>82</v>
      </c>
      <c r="X207" t="str">
        <f t="shared" si="68"/>
        <v>OK</v>
      </c>
      <c r="Y207" s="6">
        <f t="shared" si="69"/>
        <v>24</v>
      </c>
      <c r="Z207" s="6">
        <f t="shared" si="70"/>
        <v>96</v>
      </c>
    </row>
    <row r="208" spans="1:26" x14ac:dyDescent="0.3">
      <c r="A208" s="3" t="str">
        <f t="shared" si="54"/>
        <v>SKU207</v>
      </c>
      <c r="B208" s="3">
        <v>747</v>
      </c>
      <c r="C208" s="3">
        <f t="shared" si="56"/>
        <v>971.1</v>
      </c>
      <c r="D208" s="3">
        <v>78.900000000000006</v>
      </c>
      <c r="E208" s="3">
        <v>16</v>
      </c>
      <c r="F208" s="3" t="str" cm="1">
        <f t="array" aca="1" ref="F208" ca="1">INDEX({"Electronics","Clothing","Food","Furniture"}, RANDBETWEEN(1,4))</f>
        <v>Furniture</v>
      </c>
      <c r="G208" s="3">
        <v>50</v>
      </c>
      <c r="H208" s="3">
        <v>2</v>
      </c>
      <c r="I208" s="3">
        <f t="shared" si="55"/>
        <v>58938.3</v>
      </c>
      <c r="J208" s="3">
        <f t="shared" si="71"/>
        <v>21046288</v>
      </c>
      <c r="K208" s="4">
        <f t="shared" si="57"/>
        <v>0.72214812565877506</v>
      </c>
      <c r="M208" s="6">
        <f t="shared" si="58"/>
        <v>193.26148090087688</v>
      </c>
      <c r="N208" s="6">
        <f t="shared" si="59"/>
        <v>220.35199114144623</v>
      </c>
      <c r="O208" s="6">
        <f t="shared" si="60"/>
        <v>2.0465753424657533</v>
      </c>
      <c r="P208" s="6">
        <f t="shared" si="61"/>
        <v>32.745205479452054</v>
      </c>
      <c r="Q208" t="str">
        <f t="shared" si="62"/>
        <v>A</v>
      </c>
      <c r="R208" s="6">
        <f t="shared" si="63"/>
        <v>96.630740450438438</v>
      </c>
      <c r="S208" s="6">
        <f t="shared" si="64"/>
        <v>7.7304592360350757</v>
      </c>
      <c r="T208" s="6">
        <f t="shared" si="65"/>
        <v>193.2614809008769</v>
      </c>
      <c r="U208" s="6">
        <f t="shared" si="66"/>
        <v>48.315370225219219</v>
      </c>
      <c r="V208" s="6">
        <f t="shared" si="67"/>
        <v>241.57685112609613</v>
      </c>
      <c r="W208">
        <v>8</v>
      </c>
      <c r="X208" t="str">
        <f t="shared" si="68"/>
        <v>ALERT</v>
      </c>
      <c r="Y208" s="6">
        <f t="shared" si="69"/>
        <v>21</v>
      </c>
      <c r="Z208" s="6">
        <f t="shared" si="70"/>
        <v>42</v>
      </c>
    </row>
    <row r="209" spans="1:26" x14ac:dyDescent="0.3">
      <c r="A209" s="3" t="str">
        <f t="shared" si="54"/>
        <v>SKU208</v>
      </c>
      <c r="B209" s="3">
        <v>1156</v>
      </c>
      <c r="C209" s="3">
        <f t="shared" si="56"/>
        <v>1502.8</v>
      </c>
      <c r="D209" s="3">
        <v>50.64</v>
      </c>
      <c r="E209" s="3">
        <v>23</v>
      </c>
      <c r="F209" s="3" t="str" cm="1">
        <f t="array" aca="1" ref="F209" ca="1">INDEX({"Electronics","Clothing","Food","Furniture"}, RANDBETWEEN(1,4))</f>
        <v>Furniture</v>
      </c>
      <c r="G209" s="3">
        <v>50</v>
      </c>
      <c r="H209" s="3">
        <v>2</v>
      </c>
      <c r="I209" s="3">
        <f t="shared" si="55"/>
        <v>58539.840000000004</v>
      </c>
      <c r="J209" s="3">
        <f t="shared" si="71"/>
        <v>21104827.84</v>
      </c>
      <c r="K209" s="4">
        <f t="shared" si="57"/>
        <v>0.7241567665997507</v>
      </c>
      <c r="M209" s="6">
        <f t="shared" si="58"/>
        <v>240.41630560342617</v>
      </c>
      <c r="N209" s="6">
        <f t="shared" si="59"/>
        <v>274.11676344215067</v>
      </c>
      <c r="O209" s="6">
        <f t="shared" si="60"/>
        <v>3.1671232876712327</v>
      </c>
      <c r="P209" s="6">
        <f t="shared" si="61"/>
        <v>72.843835616438355</v>
      </c>
      <c r="Q209" t="str">
        <f t="shared" si="62"/>
        <v>A</v>
      </c>
      <c r="R209" s="6">
        <f t="shared" si="63"/>
        <v>120.20815280171308</v>
      </c>
      <c r="S209" s="6">
        <f t="shared" si="64"/>
        <v>9.6166522241370451</v>
      </c>
      <c r="T209" s="6">
        <f t="shared" si="65"/>
        <v>240.41630560342614</v>
      </c>
      <c r="U209" s="6">
        <f t="shared" si="66"/>
        <v>60.104076400856542</v>
      </c>
      <c r="V209" s="6">
        <f t="shared" si="67"/>
        <v>300.52038200428268</v>
      </c>
      <c r="W209">
        <v>39</v>
      </c>
      <c r="X209" t="str">
        <f t="shared" si="68"/>
        <v>ALERT</v>
      </c>
      <c r="Y209" s="6">
        <f t="shared" si="69"/>
        <v>28</v>
      </c>
      <c r="Z209" s="6">
        <f t="shared" si="70"/>
        <v>84</v>
      </c>
    </row>
    <row r="210" spans="1:26" x14ac:dyDescent="0.3">
      <c r="A210" s="3" t="str">
        <f t="shared" si="54"/>
        <v>SKU209</v>
      </c>
      <c r="B210" s="3">
        <v>726</v>
      </c>
      <c r="C210" s="3">
        <f t="shared" si="56"/>
        <v>943.80000000000007</v>
      </c>
      <c r="D210" s="3">
        <v>80.33</v>
      </c>
      <c r="E210" s="3">
        <v>13</v>
      </c>
      <c r="F210" s="3" t="str" cm="1">
        <f t="array" aca="1" ref="F210" ca="1">INDEX({"Electronics","Clothing","Food","Furniture"}, RANDBETWEEN(1,4))</f>
        <v>Furniture</v>
      </c>
      <c r="G210" s="3">
        <v>50</v>
      </c>
      <c r="H210" s="3">
        <v>2</v>
      </c>
      <c r="I210" s="3">
        <f t="shared" si="55"/>
        <v>58319.58</v>
      </c>
      <c r="J210" s="3">
        <f t="shared" si="71"/>
        <v>21163147.419999998</v>
      </c>
      <c r="K210" s="4">
        <f t="shared" si="57"/>
        <v>0.7261578498970146</v>
      </c>
      <c r="M210" s="6">
        <f t="shared" si="58"/>
        <v>190.52558883257649</v>
      </c>
      <c r="N210" s="6">
        <f t="shared" si="59"/>
        <v>217.23259423944648</v>
      </c>
      <c r="O210" s="6">
        <f t="shared" si="60"/>
        <v>1.989041095890411</v>
      </c>
      <c r="P210" s="6">
        <f t="shared" si="61"/>
        <v>25.857534246575344</v>
      </c>
      <c r="Q210" t="str">
        <f t="shared" si="62"/>
        <v>A</v>
      </c>
      <c r="R210" s="6">
        <f t="shared" si="63"/>
        <v>95.262794416288244</v>
      </c>
      <c r="S210" s="6">
        <f t="shared" si="64"/>
        <v>7.6210235533030604</v>
      </c>
      <c r="T210" s="6">
        <f t="shared" si="65"/>
        <v>190.52558883257652</v>
      </c>
      <c r="U210" s="6">
        <f t="shared" si="66"/>
        <v>47.631397208144122</v>
      </c>
      <c r="V210" s="6">
        <f t="shared" si="67"/>
        <v>238.15698604072065</v>
      </c>
      <c r="W210">
        <v>28</v>
      </c>
      <c r="X210" t="str">
        <f t="shared" si="68"/>
        <v>OK</v>
      </c>
      <c r="Y210" s="6">
        <f t="shared" si="69"/>
        <v>18</v>
      </c>
      <c r="Z210" s="6">
        <f t="shared" si="70"/>
        <v>36</v>
      </c>
    </row>
    <row r="211" spans="1:26" x14ac:dyDescent="0.3">
      <c r="A211" s="3" t="str">
        <f t="shared" si="54"/>
        <v>SKU210</v>
      </c>
      <c r="B211" s="3">
        <v>1527</v>
      </c>
      <c r="C211" s="3">
        <f t="shared" si="56"/>
        <v>1985.1000000000001</v>
      </c>
      <c r="D211" s="3">
        <v>37.78</v>
      </c>
      <c r="E211" s="3">
        <v>7</v>
      </c>
      <c r="F211" s="3" t="str" cm="1">
        <f t="array" aca="1" ref="F211" ca="1">INDEX({"Electronics","Clothing","Food","Furniture"}, RANDBETWEEN(1,4))</f>
        <v>Clothing</v>
      </c>
      <c r="G211" s="3">
        <v>50</v>
      </c>
      <c r="H211" s="3">
        <v>2</v>
      </c>
      <c r="I211" s="3">
        <f t="shared" si="55"/>
        <v>57690.060000000005</v>
      </c>
      <c r="J211" s="3">
        <f t="shared" si="71"/>
        <v>21220837.479999997</v>
      </c>
      <c r="K211" s="4">
        <f t="shared" si="57"/>
        <v>0.7281373328679851</v>
      </c>
      <c r="M211" s="6">
        <f t="shared" si="58"/>
        <v>276.31503759296197</v>
      </c>
      <c r="N211" s="6">
        <f t="shared" si="59"/>
        <v>315.04761544883974</v>
      </c>
      <c r="O211" s="6">
        <f t="shared" si="60"/>
        <v>4.183561643835616</v>
      </c>
      <c r="P211" s="6">
        <f t="shared" si="61"/>
        <v>29.284931506849311</v>
      </c>
      <c r="Q211" t="str">
        <f t="shared" si="62"/>
        <v>A</v>
      </c>
      <c r="R211" s="6">
        <f t="shared" si="63"/>
        <v>138.15751879648099</v>
      </c>
      <c r="S211" s="6">
        <f t="shared" si="64"/>
        <v>11.052601503718481</v>
      </c>
      <c r="T211" s="6">
        <f t="shared" si="65"/>
        <v>276.31503759296203</v>
      </c>
      <c r="U211" s="6">
        <f t="shared" si="66"/>
        <v>69.078759398240493</v>
      </c>
      <c r="V211" s="6">
        <f t="shared" si="67"/>
        <v>345.39379699120252</v>
      </c>
      <c r="W211">
        <v>24</v>
      </c>
      <c r="X211" t="str">
        <f t="shared" si="68"/>
        <v>ALERT</v>
      </c>
      <c r="Y211" s="6">
        <f t="shared" si="69"/>
        <v>12</v>
      </c>
      <c r="Z211" s="6">
        <f t="shared" si="70"/>
        <v>48</v>
      </c>
    </row>
    <row r="212" spans="1:26" x14ac:dyDescent="0.3">
      <c r="A212" s="3" t="str">
        <f t="shared" si="54"/>
        <v>SKU211</v>
      </c>
      <c r="B212" s="3">
        <v>856</v>
      </c>
      <c r="C212" s="3">
        <f t="shared" si="56"/>
        <v>1112.8</v>
      </c>
      <c r="D212" s="3">
        <v>66.95</v>
      </c>
      <c r="E212" s="3">
        <v>6</v>
      </c>
      <c r="F212" s="3" t="str" cm="1">
        <f t="array" aca="1" ref="F212" ca="1">INDEX({"Electronics","Clothing","Food","Furniture"}, RANDBETWEEN(1,4))</f>
        <v>Electronics</v>
      </c>
      <c r="G212" s="3">
        <v>50</v>
      </c>
      <c r="H212" s="3">
        <v>2</v>
      </c>
      <c r="I212" s="3">
        <f t="shared" si="55"/>
        <v>57309.200000000004</v>
      </c>
      <c r="J212" s="3">
        <f t="shared" si="71"/>
        <v>21278146.679999996</v>
      </c>
      <c r="K212" s="4">
        <f t="shared" si="57"/>
        <v>0.73010374762782315</v>
      </c>
      <c r="M212" s="6">
        <f t="shared" si="58"/>
        <v>206.881608655772</v>
      </c>
      <c r="N212" s="6">
        <f t="shared" si="59"/>
        <v>235.88132609428834</v>
      </c>
      <c r="O212" s="6">
        <f t="shared" si="60"/>
        <v>2.3452054794520549</v>
      </c>
      <c r="P212" s="6">
        <f t="shared" si="61"/>
        <v>14.07123287671233</v>
      </c>
      <c r="Q212" t="str">
        <f t="shared" si="62"/>
        <v>A</v>
      </c>
      <c r="R212" s="6">
        <f t="shared" si="63"/>
        <v>103.440804327886</v>
      </c>
      <c r="S212" s="6">
        <f t="shared" si="64"/>
        <v>8.2752643462308804</v>
      </c>
      <c r="T212" s="6">
        <f t="shared" si="65"/>
        <v>206.881608655772</v>
      </c>
      <c r="U212" s="6">
        <f t="shared" si="66"/>
        <v>51.720402163943</v>
      </c>
      <c r="V212" s="6">
        <f t="shared" si="67"/>
        <v>258.60201081971502</v>
      </c>
      <c r="W212">
        <v>58</v>
      </c>
      <c r="X212" t="str">
        <f t="shared" si="68"/>
        <v>OK</v>
      </c>
      <c r="Y212" s="6">
        <f t="shared" si="69"/>
        <v>11</v>
      </c>
      <c r="Z212" s="6">
        <f t="shared" si="70"/>
        <v>22</v>
      </c>
    </row>
    <row r="213" spans="1:26" x14ac:dyDescent="0.3">
      <c r="A213" s="3" t="str">
        <f t="shared" si="54"/>
        <v>SKU212</v>
      </c>
      <c r="B213" s="3">
        <v>1054</v>
      </c>
      <c r="C213" s="3">
        <f t="shared" si="56"/>
        <v>1370.2</v>
      </c>
      <c r="D213" s="3">
        <v>53.88</v>
      </c>
      <c r="E213" s="3">
        <v>1</v>
      </c>
      <c r="F213" s="3" t="str" cm="1">
        <f t="array" aca="1" ref="F213" ca="1">INDEX({"Electronics","Clothing","Food","Furniture"}, RANDBETWEEN(1,4))</f>
        <v>Food</v>
      </c>
      <c r="G213" s="3">
        <v>50</v>
      </c>
      <c r="H213" s="3">
        <v>2</v>
      </c>
      <c r="I213" s="3">
        <f t="shared" si="55"/>
        <v>56789.520000000004</v>
      </c>
      <c r="J213" s="3">
        <f t="shared" si="71"/>
        <v>21334936.199999996</v>
      </c>
      <c r="K213" s="4">
        <f t="shared" si="57"/>
        <v>0.732052330932635</v>
      </c>
      <c r="M213" s="6">
        <f t="shared" si="58"/>
        <v>229.56480566497993</v>
      </c>
      <c r="N213" s="6">
        <f t="shared" si="59"/>
        <v>261.74414988686948</v>
      </c>
      <c r="O213" s="6">
        <f t="shared" si="60"/>
        <v>2.8876712328767122</v>
      </c>
      <c r="P213" s="6">
        <f t="shared" si="61"/>
        <v>2.8876712328767122</v>
      </c>
      <c r="Q213" t="str">
        <f t="shared" si="62"/>
        <v>A</v>
      </c>
      <c r="R213" s="6">
        <f t="shared" si="63"/>
        <v>114.78240283248996</v>
      </c>
      <c r="S213" s="6">
        <f t="shared" si="64"/>
        <v>9.1825922265991977</v>
      </c>
      <c r="T213" s="6">
        <f t="shared" si="65"/>
        <v>229.56480566497993</v>
      </c>
      <c r="U213" s="6">
        <f t="shared" si="66"/>
        <v>57.391201416244982</v>
      </c>
      <c r="V213" s="6">
        <f t="shared" si="67"/>
        <v>286.95600708122493</v>
      </c>
      <c r="W213">
        <v>13</v>
      </c>
      <c r="X213" t="str">
        <f t="shared" si="68"/>
        <v>OK</v>
      </c>
      <c r="Y213" s="6">
        <f t="shared" si="69"/>
        <v>6</v>
      </c>
      <c r="Z213" s="6">
        <f t="shared" si="70"/>
        <v>18</v>
      </c>
    </row>
    <row r="214" spans="1:26" x14ac:dyDescent="0.3">
      <c r="A214" s="3" t="str">
        <f t="shared" si="54"/>
        <v>SKU213</v>
      </c>
      <c r="B214" s="3">
        <v>699</v>
      </c>
      <c r="C214" s="3">
        <f t="shared" si="56"/>
        <v>908.7</v>
      </c>
      <c r="D214" s="3">
        <v>81.180000000000007</v>
      </c>
      <c r="E214" s="3">
        <v>14</v>
      </c>
      <c r="F214" s="3" t="str" cm="1">
        <f t="array" aca="1" ref="F214" ca="1">INDEX({"Electronics","Clothing","Food","Furniture"}, RANDBETWEEN(1,4))</f>
        <v>Clothing</v>
      </c>
      <c r="G214" s="3">
        <v>50</v>
      </c>
      <c r="H214" s="3">
        <v>2</v>
      </c>
      <c r="I214" s="3">
        <f t="shared" si="55"/>
        <v>56744.820000000007</v>
      </c>
      <c r="J214" s="3">
        <f t="shared" si="71"/>
        <v>21391681.019999996</v>
      </c>
      <c r="K214" s="4">
        <f t="shared" si="57"/>
        <v>0.73399938047428548</v>
      </c>
      <c r="M214" s="6">
        <f t="shared" si="58"/>
        <v>186.94919095839919</v>
      </c>
      <c r="N214" s="6">
        <f t="shared" si="59"/>
        <v>213.15487327293269</v>
      </c>
      <c r="O214" s="6">
        <f t="shared" si="60"/>
        <v>1.9150684931506849</v>
      </c>
      <c r="P214" s="6">
        <f t="shared" si="61"/>
        <v>26.81095890410959</v>
      </c>
      <c r="Q214" t="str">
        <f t="shared" si="62"/>
        <v>A</v>
      </c>
      <c r="R214" s="6">
        <f t="shared" si="63"/>
        <v>93.474595479199593</v>
      </c>
      <c r="S214" s="6">
        <f t="shared" si="64"/>
        <v>7.4779676383359668</v>
      </c>
      <c r="T214" s="6">
        <f t="shared" si="65"/>
        <v>186.94919095839916</v>
      </c>
      <c r="U214" s="6">
        <f t="shared" si="66"/>
        <v>46.737297739599796</v>
      </c>
      <c r="V214" s="6">
        <f t="shared" si="67"/>
        <v>233.68648869799895</v>
      </c>
      <c r="W214">
        <v>25</v>
      </c>
      <c r="X214" t="str">
        <f t="shared" si="68"/>
        <v>ALERT</v>
      </c>
      <c r="Y214" s="6">
        <f t="shared" si="69"/>
        <v>19</v>
      </c>
      <c r="Z214" s="6">
        <f t="shared" si="70"/>
        <v>38</v>
      </c>
    </row>
    <row r="215" spans="1:26" x14ac:dyDescent="0.3">
      <c r="A215" s="3" t="str">
        <f t="shared" si="54"/>
        <v>SKU214</v>
      </c>
      <c r="B215" s="3">
        <v>914</v>
      </c>
      <c r="C215" s="3">
        <f t="shared" si="56"/>
        <v>1188.2</v>
      </c>
      <c r="D215" s="3">
        <v>61.99</v>
      </c>
      <c r="E215" s="3">
        <v>20</v>
      </c>
      <c r="F215" s="3" t="str" cm="1">
        <f t="array" aca="1" ref="F215" ca="1">INDEX({"Electronics","Clothing","Food","Furniture"}, RANDBETWEEN(1,4))</f>
        <v>Electronics</v>
      </c>
      <c r="G215" s="3">
        <v>50</v>
      </c>
      <c r="H215" s="3">
        <v>2</v>
      </c>
      <c r="I215" s="3">
        <f t="shared" si="55"/>
        <v>56658.86</v>
      </c>
      <c r="J215" s="3">
        <f t="shared" si="71"/>
        <v>21448339.879999995</v>
      </c>
      <c r="K215" s="4">
        <f t="shared" si="57"/>
        <v>0.73594348052418324</v>
      </c>
      <c r="M215" s="6">
        <f t="shared" si="58"/>
        <v>213.77558326431949</v>
      </c>
      <c r="N215" s="6">
        <f t="shared" si="59"/>
        <v>243.74166652421167</v>
      </c>
      <c r="O215" s="6">
        <f t="shared" si="60"/>
        <v>2.504109589041096</v>
      </c>
      <c r="P215" s="6">
        <f t="shared" si="61"/>
        <v>50.082191780821923</v>
      </c>
      <c r="Q215" t="str">
        <f t="shared" si="62"/>
        <v>A</v>
      </c>
      <c r="R215" s="6">
        <f t="shared" si="63"/>
        <v>106.88779163215975</v>
      </c>
      <c r="S215" s="6">
        <f t="shared" si="64"/>
        <v>8.5510233305727805</v>
      </c>
      <c r="T215" s="6">
        <f t="shared" si="65"/>
        <v>213.77558326431952</v>
      </c>
      <c r="U215" s="6">
        <f t="shared" si="66"/>
        <v>53.443895816079873</v>
      </c>
      <c r="V215" s="6">
        <f t="shared" si="67"/>
        <v>267.21947908039942</v>
      </c>
      <c r="W215">
        <v>56</v>
      </c>
      <c r="X215" t="str">
        <f t="shared" si="68"/>
        <v>OK</v>
      </c>
      <c r="Y215" s="6">
        <f t="shared" si="69"/>
        <v>25</v>
      </c>
      <c r="Z215" s="6">
        <f t="shared" si="70"/>
        <v>75</v>
      </c>
    </row>
    <row r="216" spans="1:26" x14ac:dyDescent="0.3">
      <c r="A216" s="3" t="str">
        <f t="shared" si="54"/>
        <v>SKU215</v>
      </c>
      <c r="B216" s="3">
        <v>619</v>
      </c>
      <c r="C216" s="3">
        <f t="shared" si="56"/>
        <v>804.7</v>
      </c>
      <c r="D216" s="3">
        <v>91.5</v>
      </c>
      <c r="E216" s="3">
        <v>16</v>
      </c>
      <c r="F216" s="3" t="str" cm="1">
        <f t="array" aca="1" ref="F216" ca="1">INDEX({"Electronics","Clothing","Food","Furniture"}, RANDBETWEEN(1,4))</f>
        <v>Furniture</v>
      </c>
      <c r="G216" s="3">
        <v>50</v>
      </c>
      <c r="H216" s="3">
        <v>2</v>
      </c>
      <c r="I216" s="3">
        <f t="shared" si="55"/>
        <v>56638.5</v>
      </c>
      <c r="J216" s="3">
        <f t="shared" si="71"/>
        <v>21504978.379999995</v>
      </c>
      <c r="K216" s="4">
        <f t="shared" si="57"/>
        <v>0.73788688197412655</v>
      </c>
      <c r="M216" s="6">
        <f t="shared" si="58"/>
        <v>175.9261208575918</v>
      </c>
      <c r="N216" s="6">
        <f t="shared" si="59"/>
        <v>200.58663963484707</v>
      </c>
      <c r="O216" s="6">
        <f t="shared" si="60"/>
        <v>1.6958904109589041</v>
      </c>
      <c r="P216" s="6">
        <f t="shared" si="61"/>
        <v>27.134246575342466</v>
      </c>
      <c r="Q216" t="str">
        <f t="shared" si="62"/>
        <v>A</v>
      </c>
      <c r="R216" s="6">
        <f t="shared" si="63"/>
        <v>87.963060428795899</v>
      </c>
      <c r="S216" s="6">
        <f t="shared" si="64"/>
        <v>7.0370448343036731</v>
      </c>
      <c r="T216" s="6">
        <f t="shared" si="65"/>
        <v>175.92612085759183</v>
      </c>
      <c r="U216" s="6">
        <f t="shared" si="66"/>
        <v>43.981530214397949</v>
      </c>
      <c r="V216" s="6">
        <f t="shared" si="67"/>
        <v>219.90765107198979</v>
      </c>
      <c r="W216">
        <v>22</v>
      </c>
      <c r="X216" t="str">
        <f t="shared" si="68"/>
        <v>ALERT</v>
      </c>
      <c r="Y216" s="6">
        <f t="shared" si="69"/>
        <v>21</v>
      </c>
      <c r="Z216" s="6">
        <f t="shared" si="70"/>
        <v>42</v>
      </c>
    </row>
    <row r="217" spans="1:26" x14ac:dyDescent="0.3">
      <c r="A217" s="3" t="str">
        <f t="shared" si="54"/>
        <v>SKU216</v>
      </c>
      <c r="B217" s="3">
        <v>1658</v>
      </c>
      <c r="C217" s="3">
        <f t="shared" si="56"/>
        <v>2155.4</v>
      </c>
      <c r="D217" s="3">
        <v>33.979999999999997</v>
      </c>
      <c r="E217" s="3">
        <v>5</v>
      </c>
      <c r="F217" s="3" t="str" cm="1">
        <f t="array" aca="1" ref="F217" ca="1">INDEX({"Electronics","Clothing","Food","Furniture"}, RANDBETWEEN(1,4))</f>
        <v>Furniture</v>
      </c>
      <c r="G217" s="3">
        <v>50</v>
      </c>
      <c r="H217" s="3">
        <v>2</v>
      </c>
      <c r="I217" s="3">
        <f t="shared" si="55"/>
        <v>56338.84</v>
      </c>
      <c r="J217" s="3">
        <f t="shared" si="71"/>
        <v>21561317.219999995</v>
      </c>
      <c r="K217" s="4">
        <f t="shared" si="57"/>
        <v>0.73982000137778525</v>
      </c>
      <c r="M217" s="6">
        <f t="shared" si="58"/>
        <v>287.92360097775935</v>
      </c>
      <c r="N217" s="6">
        <f t="shared" si="59"/>
        <v>328.28341414089135</v>
      </c>
      <c r="O217" s="6">
        <f t="shared" si="60"/>
        <v>4.5424657534246577</v>
      </c>
      <c r="P217" s="6">
        <f t="shared" si="61"/>
        <v>22.712328767123289</v>
      </c>
      <c r="Q217" t="str">
        <f t="shared" si="62"/>
        <v>A</v>
      </c>
      <c r="R217" s="6">
        <f t="shared" si="63"/>
        <v>143.96180048887967</v>
      </c>
      <c r="S217" s="6">
        <f t="shared" si="64"/>
        <v>11.516944039110376</v>
      </c>
      <c r="T217" s="6">
        <f t="shared" si="65"/>
        <v>287.92360097775941</v>
      </c>
      <c r="U217" s="6">
        <f t="shared" si="66"/>
        <v>71.980900244439837</v>
      </c>
      <c r="V217" s="6">
        <f t="shared" si="67"/>
        <v>359.90450122219926</v>
      </c>
      <c r="W217">
        <v>64</v>
      </c>
      <c r="X217" t="str">
        <f t="shared" si="68"/>
        <v>OK</v>
      </c>
      <c r="Y217" s="6">
        <f t="shared" si="69"/>
        <v>10</v>
      </c>
      <c r="Z217" s="6">
        <f t="shared" si="70"/>
        <v>50</v>
      </c>
    </row>
    <row r="218" spans="1:26" x14ac:dyDescent="0.3">
      <c r="A218" s="3" t="str">
        <f t="shared" si="54"/>
        <v>SKU217</v>
      </c>
      <c r="B218" s="3">
        <v>989</v>
      </c>
      <c r="C218" s="3">
        <f t="shared" si="56"/>
        <v>1285.7</v>
      </c>
      <c r="D218" s="3">
        <v>56.56</v>
      </c>
      <c r="E218" s="3">
        <v>1</v>
      </c>
      <c r="F218" s="3" t="str" cm="1">
        <f t="array" aca="1" ref="F218" ca="1">INDEX({"Electronics","Clothing","Food","Furniture"}, RANDBETWEEN(1,4))</f>
        <v>Clothing</v>
      </c>
      <c r="G218" s="3">
        <v>50</v>
      </c>
      <c r="H218" s="3">
        <v>2</v>
      </c>
      <c r="I218" s="3">
        <f t="shared" si="55"/>
        <v>55937.840000000004</v>
      </c>
      <c r="J218" s="3">
        <f t="shared" si="71"/>
        <v>21617255.059999995</v>
      </c>
      <c r="K218" s="4">
        <f t="shared" si="57"/>
        <v>0.7417393615190796</v>
      </c>
      <c r="M218" s="6">
        <f t="shared" si="58"/>
        <v>222.37355957937086</v>
      </c>
      <c r="N218" s="6">
        <f t="shared" si="59"/>
        <v>253.54486782421765</v>
      </c>
      <c r="O218" s="6">
        <f t="shared" si="60"/>
        <v>2.7095890410958905</v>
      </c>
      <c r="P218" s="6">
        <f t="shared" si="61"/>
        <v>2.7095890410958905</v>
      </c>
      <c r="Q218" t="str">
        <f t="shared" si="62"/>
        <v>A</v>
      </c>
      <c r="R218" s="6">
        <f t="shared" si="63"/>
        <v>111.18677978968543</v>
      </c>
      <c r="S218" s="6">
        <f t="shared" si="64"/>
        <v>8.8949423831748344</v>
      </c>
      <c r="T218" s="6">
        <f t="shared" si="65"/>
        <v>222.37355957937086</v>
      </c>
      <c r="U218" s="6">
        <f t="shared" si="66"/>
        <v>55.593389894842716</v>
      </c>
      <c r="V218" s="6">
        <f t="shared" si="67"/>
        <v>277.96694947421361</v>
      </c>
      <c r="W218">
        <v>15</v>
      </c>
      <c r="X218" t="str">
        <f t="shared" si="68"/>
        <v>OK</v>
      </c>
      <c r="Y218" s="6">
        <f t="shared" si="69"/>
        <v>6</v>
      </c>
      <c r="Z218" s="6">
        <f t="shared" si="70"/>
        <v>18</v>
      </c>
    </row>
    <row r="219" spans="1:26" x14ac:dyDescent="0.3">
      <c r="A219" s="3" t="str">
        <f t="shared" si="54"/>
        <v>SKU218</v>
      </c>
      <c r="B219" s="3">
        <v>1840</v>
      </c>
      <c r="C219" s="3">
        <f t="shared" si="56"/>
        <v>2392</v>
      </c>
      <c r="D219" s="3">
        <v>30.23</v>
      </c>
      <c r="E219" s="3">
        <v>12</v>
      </c>
      <c r="F219" s="3" t="str" cm="1">
        <f t="array" aca="1" ref="F219" ca="1">INDEX({"Electronics","Clothing","Food","Furniture"}, RANDBETWEEN(1,4))</f>
        <v>Electronics</v>
      </c>
      <c r="G219" s="3">
        <v>50</v>
      </c>
      <c r="H219" s="3">
        <v>2</v>
      </c>
      <c r="I219" s="3">
        <f t="shared" si="55"/>
        <v>55623.200000000004</v>
      </c>
      <c r="J219" s="3">
        <f t="shared" si="71"/>
        <v>21672878.259999994</v>
      </c>
      <c r="K219" s="4">
        <f t="shared" si="57"/>
        <v>0.74364792561471216</v>
      </c>
      <c r="M219" s="6">
        <f t="shared" si="58"/>
        <v>303.31501776206204</v>
      </c>
      <c r="N219" s="6">
        <f t="shared" si="59"/>
        <v>345.83232931581165</v>
      </c>
      <c r="O219" s="6">
        <f t="shared" si="60"/>
        <v>5.0410958904109586</v>
      </c>
      <c r="P219" s="6">
        <f t="shared" si="61"/>
        <v>60.493150684931507</v>
      </c>
      <c r="Q219" t="str">
        <f t="shared" si="62"/>
        <v>A</v>
      </c>
      <c r="R219" s="6">
        <f t="shared" si="63"/>
        <v>151.65750888103102</v>
      </c>
      <c r="S219" s="6">
        <f t="shared" si="64"/>
        <v>12.13260071048248</v>
      </c>
      <c r="T219" s="6">
        <f t="shared" si="65"/>
        <v>303.31501776206198</v>
      </c>
      <c r="U219" s="6">
        <f t="shared" si="66"/>
        <v>75.82875444051551</v>
      </c>
      <c r="V219" s="6">
        <f t="shared" si="67"/>
        <v>379.14377220257751</v>
      </c>
      <c r="W219">
        <v>19</v>
      </c>
      <c r="X219" t="str">
        <f t="shared" si="68"/>
        <v>ALERT</v>
      </c>
      <c r="Y219" s="6">
        <f t="shared" si="69"/>
        <v>17</v>
      </c>
      <c r="Z219" s="6">
        <f t="shared" si="70"/>
        <v>85</v>
      </c>
    </row>
    <row r="220" spans="1:26" x14ac:dyDescent="0.3">
      <c r="A220" s="3" t="str">
        <f t="shared" si="54"/>
        <v>SKU219</v>
      </c>
      <c r="B220" s="3">
        <v>959</v>
      </c>
      <c r="C220" s="3">
        <f t="shared" si="56"/>
        <v>1246.7</v>
      </c>
      <c r="D220" s="3">
        <v>57.84</v>
      </c>
      <c r="E220" s="3">
        <v>8</v>
      </c>
      <c r="F220" s="3" t="str" cm="1">
        <f t="array" aca="1" ref="F220" ca="1">INDEX({"Electronics","Clothing","Food","Furniture"}, RANDBETWEEN(1,4))</f>
        <v>Food</v>
      </c>
      <c r="G220" s="3">
        <v>50</v>
      </c>
      <c r="H220" s="3">
        <v>2</v>
      </c>
      <c r="I220" s="3">
        <f t="shared" si="55"/>
        <v>55468.560000000005</v>
      </c>
      <c r="J220" s="3">
        <f t="shared" si="71"/>
        <v>21728346.819999993</v>
      </c>
      <c r="K220" s="4">
        <f t="shared" si="57"/>
        <v>0.74555118364467876</v>
      </c>
      <c r="M220" s="6">
        <f t="shared" si="58"/>
        <v>218.9748844045819</v>
      </c>
      <c r="N220" s="6">
        <f t="shared" si="59"/>
        <v>249.66978191202875</v>
      </c>
      <c r="O220" s="6">
        <f t="shared" si="60"/>
        <v>2.6273972602739728</v>
      </c>
      <c r="P220" s="6">
        <f t="shared" si="61"/>
        <v>21.019178082191782</v>
      </c>
      <c r="Q220" t="str">
        <f t="shared" si="62"/>
        <v>A</v>
      </c>
      <c r="R220" s="6">
        <f t="shared" si="63"/>
        <v>109.48744220229095</v>
      </c>
      <c r="S220" s="6">
        <f t="shared" si="64"/>
        <v>8.7589953761832753</v>
      </c>
      <c r="T220" s="6">
        <f t="shared" si="65"/>
        <v>218.97488440458187</v>
      </c>
      <c r="U220" s="6">
        <f t="shared" si="66"/>
        <v>54.743721101145475</v>
      </c>
      <c r="V220" s="6">
        <f t="shared" si="67"/>
        <v>273.71860550572734</v>
      </c>
      <c r="W220">
        <v>10</v>
      </c>
      <c r="X220" t="str">
        <f t="shared" si="68"/>
        <v>ALERT</v>
      </c>
      <c r="Y220" s="6">
        <f t="shared" si="69"/>
        <v>13</v>
      </c>
      <c r="Z220" s="6">
        <f t="shared" si="70"/>
        <v>39</v>
      </c>
    </row>
    <row r="221" spans="1:26" x14ac:dyDescent="0.3">
      <c r="A221" s="3" t="str">
        <f t="shared" si="54"/>
        <v>SKU220</v>
      </c>
      <c r="B221" s="3">
        <v>611</v>
      </c>
      <c r="C221" s="3">
        <f t="shared" si="56"/>
        <v>794.30000000000007</v>
      </c>
      <c r="D221" s="3">
        <v>89.86</v>
      </c>
      <c r="E221" s="3">
        <v>24</v>
      </c>
      <c r="F221" s="3" t="str" cm="1">
        <f t="array" aca="1" ref="F221" ca="1">INDEX({"Electronics","Clothing","Food","Furniture"}, RANDBETWEEN(1,4))</f>
        <v>Food</v>
      </c>
      <c r="G221" s="3">
        <v>50</v>
      </c>
      <c r="H221" s="3">
        <v>2</v>
      </c>
      <c r="I221" s="3">
        <f t="shared" si="55"/>
        <v>54904.46</v>
      </c>
      <c r="J221" s="3">
        <f t="shared" si="71"/>
        <v>21783251.279999994</v>
      </c>
      <c r="K221" s="4">
        <f t="shared" si="57"/>
        <v>0.74743508606392284</v>
      </c>
      <c r="M221" s="6">
        <f t="shared" si="58"/>
        <v>174.78558292948534</v>
      </c>
      <c r="N221" s="6">
        <f t="shared" si="59"/>
        <v>199.28622631782659</v>
      </c>
      <c r="O221" s="6">
        <f t="shared" si="60"/>
        <v>1.6739726027397259</v>
      </c>
      <c r="P221" s="6">
        <f t="shared" si="61"/>
        <v>40.175342465753424</v>
      </c>
      <c r="Q221" t="str">
        <f t="shared" si="62"/>
        <v>A</v>
      </c>
      <c r="R221" s="6">
        <f t="shared" si="63"/>
        <v>87.392791464742672</v>
      </c>
      <c r="S221" s="6">
        <f t="shared" si="64"/>
        <v>6.9914233171794145</v>
      </c>
      <c r="T221" s="6">
        <f t="shared" si="65"/>
        <v>174.78558292948537</v>
      </c>
      <c r="U221" s="6">
        <f t="shared" si="66"/>
        <v>43.696395732371336</v>
      </c>
      <c r="V221" s="6">
        <f t="shared" si="67"/>
        <v>218.48197866185672</v>
      </c>
      <c r="W221">
        <v>80</v>
      </c>
      <c r="X221" t="str">
        <f t="shared" si="68"/>
        <v>OK</v>
      </c>
      <c r="Y221" s="6">
        <f t="shared" si="69"/>
        <v>29</v>
      </c>
      <c r="Z221" s="6">
        <f t="shared" si="70"/>
        <v>58</v>
      </c>
    </row>
    <row r="222" spans="1:26" x14ac:dyDescent="0.3">
      <c r="A222" s="3" t="str">
        <f t="shared" si="54"/>
        <v>SKU221</v>
      </c>
      <c r="B222" s="3">
        <v>905</v>
      </c>
      <c r="C222" s="3">
        <f t="shared" si="56"/>
        <v>1176.5</v>
      </c>
      <c r="D222" s="3">
        <v>60.45</v>
      </c>
      <c r="E222" s="3">
        <v>8</v>
      </c>
      <c r="F222" s="3" t="str" cm="1">
        <f t="array" aca="1" ref="F222" ca="1">INDEX({"Electronics","Clothing","Food","Furniture"}, RANDBETWEEN(1,4))</f>
        <v>Furniture</v>
      </c>
      <c r="G222" s="3">
        <v>50</v>
      </c>
      <c r="H222" s="3">
        <v>2</v>
      </c>
      <c r="I222" s="3">
        <f t="shared" si="55"/>
        <v>54707.25</v>
      </c>
      <c r="J222" s="3">
        <f t="shared" si="71"/>
        <v>21837958.529999994</v>
      </c>
      <c r="K222" s="4">
        <f t="shared" si="57"/>
        <v>0.74931222173969836</v>
      </c>
      <c r="M222" s="6">
        <f t="shared" si="58"/>
        <v>212.72047386182646</v>
      </c>
      <c r="N222" s="6">
        <f t="shared" si="59"/>
        <v>242.53865671269807</v>
      </c>
      <c r="O222" s="6">
        <f t="shared" si="60"/>
        <v>2.4794520547945207</v>
      </c>
      <c r="P222" s="6">
        <f t="shared" si="61"/>
        <v>19.835616438356166</v>
      </c>
      <c r="Q222" t="str">
        <f t="shared" si="62"/>
        <v>A</v>
      </c>
      <c r="R222" s="6">
        <f t="shared" si="63"/>
        <v>106.36023693091323</v>
      </c>
      <c r="S222" s="6">
        <f t="shared" si="64"/>
        <v>8.5088189544730586</v>
      </c>
      <c r="T222" s="6">
        <f t="shared" si="65"/>
        <v>212.72047386182646</v>
      </c>
      <c r="U222" s="6">
        <f t="shared" si="66"/>
        <v>53.180118465456616</v>
      </c>
      <c r="V222" s="6">
        <f t="shared" si="67"/>
        <v>265.90059232728311</v>
      </c>
      <c r="W222">
        <v>50</v>
      </c>
      <c r="X222" t="str">
        <f t="shared" si="68"/>
        <v>OK</v>
      </c>
      <c r="Y222" s="6">
        <f t="shared" si="69"/>
        <v>13</v>
      </c>
      <c r="Z222" s="6">
        <f t="shared" si="70"/>
        <v>26</v>
      </c>
    </row>
    <row r="223" spans="1:26" x14ac:dyDescent="0.3">
      <c r="A223" s="3" t="str">
        <f t="shared" si="54"/>
        <v>SKU222</v>
      </c>
      <c r="B223" s="3">
        <v>1356</v>
      </c>
      <c r="C223" s="3">
        <f t="shared" si="56"/>
        <v>1762.8</v>
      </c>
      <c r="D223" s="3">
        <v>40.11</v>
      </c>
      <c r="E223" s="3">
        <v>24</v>
      </c>
      <c r="F223" s="3" t="str" cm="1">
        <f t="array" aca="1" ref="F223" ca="1">INDEX({"Electronics","Clothing","Food","Furniture"}, RANDBETWEEN(1,4))</f>
        <v>Clothing</v>
      </c>
      <c r="G223" s="3">
        <v>50</v>
      </c>
      <c r="H223" s="3">
        <v>2</v>
      </c>
      <c r="I223" s="3">
        <f t="shared" si="55"/>
        <v>54389.159999999996</v>
      </c>
      <c r="J223" s="3">
        <f t="shared" si="71"/>
        <v>21892347.689999994</v>
      </c>
      <c r="K223" s="4">
        <f t="shared" si="57"/>
        <v>0.75117844299211856</v>
      </c>
      <c r="M223" s="6">
        <f t="shared" si="58"/>
        <v>260.38433132583071</v>
      </c>
      <c r="N223" s="6">
        <f t="shared" si="59"/>
        <v>296.88381565858384</v>
      </c>
      <c r="O223" s="6">
        <f t="shared" si="60"/>
        <v>3.7150684931506848</v>
      </c>
      <c r="P223" s="6">
        <f t="shared" si="61"/>
        <v>89.161643835616431</v>
      </c>
      <c r="Q223" t="str">
        <f t="shared" si="62"/>
        <v>A</v>
      </c>
      <c r="R223" s="6">
        <f t="shared" si="63"/>
        <v>130.19216566291536</v>
      </c>
      <c r="S223" s="6">
        <f t="shared" si="64"/>
        <v>10.415373253033231</v>
      </c>
      <c r="T223" s="6">
        <f t="shared" si="65"/>
        <v>260.38433132583077</v>
      </c>
      <c r="U223" s="6">
        <f t="shared" si="66"/>
        <v>65.096082831457679</v>
      </c>
      <c r="V223" s="6">
        <f t="shared" si="67"/>
        <v>325.48041415728846</v>
      </c>
      <c r="W223">
        <v>134</v>
      </c>
      <c r="X223" t="str">
        <f t="shared" si="68"/>
        <v>OK</v>
      </c>
      <c r="Y223" s="6">
        <f t="shared" si="69"/>
        <v>29</v>
      </c>
      <c r="Z223" s="6">
        <f t="shared" si="70"/>
        <v>116</v>
      </c>
    </row>
    <row r="224" spans="1:26" x14ac:dyDescent="0.3">
      <c r="A224" s="3" t="str">
        <f t="shared" si="54"/>
        <v>SKU223</v>
      </c>
      <c r="B224" s="3">
        <v>1875</v>
      </c>
      <c r="C224" s="3">
        <f t="shared" si="56"/>
        <v>2437.5</v>
      </c>
      <c r="D224" s="3">
        <v>28.83</v>
      </c>
      <c r="E224" s="3">
        <v>25</v>
      </c>
      <c r="F224" s="3" t="str" cm="1">
        <f t="array" aca="1" ref="F224" ca="1">INDEX({"Electronics","Clothing","Food","Furniture"}, RANDBETWEEN(1,4))</f>
        <v>Electronics</v>
      </c>
      <c r="G224" s="3">
        <v>50</v>
      </c>
      <c r="H224" s="3">
        <v>2</v>
      </c>
      <c r="I224" s="3">
        <f t="shared" si="55"/>
        <v>54056.25</v>
      </c>
      <c r="J224" s="3">
        <f t="shared" si="71"/>
        <v>21946403.939999994</v>
      </c>
      <c r="K224" s="4">
        <f t="shared" si="57"/>
        <v>0.75303324131178617</v>
      </c>
      <c r="M224" s="6">
        <f t="shared" si="58"/>
        <v>306.18621784789724</v>
      </c>
      <c r="N224" s="6">
        <f t="shared" si="59"/>
        <v>349.10600109422353</v>
      </c>
      <c r="O224" s="6">
        <f t="shared" si="60"/>
        <v>5.1369863013698627</v>
      </c>
      <c r="P224" s="6">
        <f t="shared" si="61"/>
        <v>128.42465753424656</v>
      </c>
      <c r="Q224" t="str">
        <f t="shared" si="62"/>
        <v>A</v>
      </c>
      <c r="R224" s="6">
        <f t="shared" si="63"/>
        <v>153.09310892394862</v>
      </c>
      <c r="S224" s="6">
        <f t="shared" si="64"/>
        <v>12.247448713915892</v>
      </c>
      <c r="T224" s="6">
        <f t="shared" si="65"/>
        <v>306.1862178478973</v>
      </c>
      <c r="U224" s="6">
        <f t="shared" si="66"/>
        <v>76.54655446197431</v>
      </c>
      <c r="V224" s="6">
        <f t="shared" si="67"/>
        <v>382.73277230987162</v>
      </c>
      <c r="W224">
        <v>46</v>
      </c>
      <c r="X224" t="str">
        <f t="shared" si="68"/>
        <v>ALERT</v>
      </c>
      <c r="Y224" s="6">
        <f t="shared" si="69"/>
        <v>30</v>
      </c>
      <c r="Z224" s="6">
        <f t="shared" si="70"/>
        <v>150</v>
      </c>
    </row>
    <row r="225" spans="1:26" x14ac:dyDescent="0.3">
      <c r="A225" s="3" t="str">
        <f t="shared" si="54"/>
        <v>SKU224</v>
      </c>
      <c r="B225" s="3">
        <v>574</v>
      </c>
      <c r="C225" s="3">
        <f t="shared" si="56"/>
        <v>746.2</v>
      </c>
      <c r="D225" s="3">
        <v>93.98</v>
      </c>
      <c r="E225" s="3">
        <v>10</v>
      </c>
      <c r="F225" s="3" t="str" cm="1">
        <f t="array" aca="1" ref="F225" ca="1">INDEX({"Electronics","Clothing","Food","Furniture"}, RANDBETWEEN(1,4))</f>
        <v>Furniture</v>
      </c>
      <c r="G225" s="3">
        <v>50</v>
      </c>
      <c r="H225" s="3">
        <v>2</v>
      </c>
      <c r="I225" s="3">
        <f t="shared" si="55"/>
        <v>53944.520000000004</v>
      </c>
      <c r="J225" s="3">
        <f t="shared" si="71"/>
        <v>22000348.459999993</v>
      </c>
      <c r="K225" s="4">
        <f t="shared" si="57"/>
        <v>0.7548842059097981</v>
      </c>
      <c r="M225" s="6">
        <f t="shared" si="58"/>
        <v>169.41074346097417</v>
      </c>
      <c r="N225" s="6">
        <f t="shared" si="59"/>
        <v>193.15796644197724</v>
      </c>
      <c r="O225" s="6">
        <f t="shared" si="60"/>
        <v>1.5726027397260274</v>
      </c>
      <c r="P225" s="6">
        <f t="shared" si="61"/>
        <v>15.726027397260275</v>
      </c>
      <c r="Q225" t="str">
        <f t="shared" si="62"/>
        <v>A</v>
      </c>
      <c r="R225" s="6">
        <f t="shared" si="63"/>
        <v>84.705371730487087</v>
      </c>
      <c r="S225" s="6">
        <f t="shared" si="64"/>
        <v>6.7764297384389662</v>
      </c>
      <c r="T225" s="6">
        <f t="shared" si="65"/>
        <v>169.41074346097415</v>
      </c>
      <c r="U225" s="6">
        <f t="shared" si="66"/>
        <v>42.352685865243544</v>
      </c>
      <c r="V225" s="6">
        <f t="shared" si="67"/>
        <v>211.7634293262177</v>
      </c>
      <c r="W225">
        <v>18</v>
      </c>
      <c r="X225" t="str">
        <f t="shared" si="68"/>
        <v>OK</v>
      </c>
      <c r="Y225" s="6">
        <f t="shared" si="69"/>
        <v>15</v>
      </c>
      <c r="Z225" s="6">
        <f t="shared" si="70"/>
        <v>30</v>
      </c>
    </row>
    <row r="226" spans="1:26" x14ac:dyDescent="0.3">
      <c r="A226" s="3" t="str">
        <f t="shared" si="54"/>
        <v>SKU225</v>
      </c>
      <c r="B226" s="3">
        <v>1253</v>
      </c>
      <c r="C226" s="3">
        <f t="shared" si="56"/>
        <v>1628.9</v>
      </c>
      <c r="D226" s="3">
        <v>42.65</v>
      </c>
      <c r="E226" s="3">
        <v>24</v>
      </c>
      <c r="F226" s="3" t="str" cm="1">
        <f t="array" aca="1" ref="F226" ca="1">INDEX({"Electronics","Clothing","Food","Furniture"}, RANDBETWEEN(1,4))</f>
        <v>Food</v>
      </c>
      <c r="G226" s="3">
        <v>50</v>
      </c>
      <c r="H226" s="3">
        <v>2</v>
      </c>
      <c r="I226" s="3">
        <f t="shared" si="55"/>
        <v>53440.45</v>
      </c>
      <c r="J226" s="3">
        <f t="shared" si="71"/>
        <v>22053788.909999993</v>
      </c>
      <c r="K226" s="4">
        <f t="shared" si="57"/>
        <v>0.75671787466895701</v>
      </c>
      <c r="M226" s="6">
        <f t="shared" si="58"/>
        <v>250.29982021567653</v>
      </c>
      <c r="N226" s="6">
        <f t="shared" si="59"/>
        <v>285.38570391664683</v>
      </c>
      <c r="O226" s="6">
        <f t="shared" si="60"/>
        <v>3.4328767123287673</v>
      </c>
      <c r="P226" s="6">
        <f t="shared" si="61"/>
        <v>82.38904109589042</v>
      </c>
      <c r="Q226" t="str">
        <f t="shared" si="62"/>
        <v>A</v>
      </c>
      <c r="R226" s="6">
        <f t="shared" si="63"/>
        <v>125.14991010783827</v>
      </c>
      <c r="S226" s="6">
        <f t="shared" si="64"/>
        <v>10.011992808627062</v>
      </c>
      <c r="T226" s="6">
        <f t="shared" si="65"/>
        <v>250.29982021567653</v>
      </c>
      <c r="U226" s="6">
        <f t="shared" si="66"/>
        <v>62.574955053919133</v>
      </c>
      <c r="V226" s="6">
        <f t="shared" si="67"/>
        <v>312.87477526959566</v>
      </c>
      <c r="W226">
        <v>129</v>
      </c>
      <c r="X226" t="str">
        <f t="shared" si="68"/>
        <v>OK</v>
      </c>
      <c r="Y226" s="6">
        <f t="shared" si="69"/>
        <v>29</v>
      </c>
      <c r="Z226" s="6">
        <f t="shared" si="70"/>
        <v>87</v>
      </c>
    </row>
    <row r="227" spans="1:26" x14ac:dyDescent="0.3">
      <c r="A227" s="3" t="str">
        <f t="shared" si="54"/>
        <v>SKU226</v>
      </c>
      <c r="B227" s="3">
        <v>1928</v>
      </c>
      <c r="C227" s="3">
        <f t="shared" si="56"/>
        <v>2506.4</v>
      </c>
      <c r="D227" s="3">
        <v>27.68</v>
      </c>
      <c r="E227" s="3">
        <v>5</v>
      </c>
      <c r="F227" s="3" t="str" cm="1">
        <f t="array" aca="1" ref="F227" ca="1">INDEX({"Electronics","Clothing","Food","Furniture"}, RANDBETWEEN(1,4))</f>
        <v>Furniture</v>
      </c>
      <c r="G227" s="3">
        <v>50</v>
      </c>
      <c r="H227" s="3">
        <v>2</v>
      </c>
      <c r="I227" s="3">
        <f t="shared" si="55"/>
        <v>53367.040000000001</v>
      </c>
      <c r="J227" s="3">
        <f t="shared" si="71"/>
        <v>22107155.949999992</v>
      </c>
      <c r="K227" s="4">
        <f t="shared" si="57"/>
        <v>0.75854902455666906</v>
      </c>
      <c r="M227" s="6">
        <f t="shared" si="58"/>
        <v>310.48349392520049</v>
      </c>
      <c r="N227" s="6">
        <f t="shared" si="59"/>
        <v>354.00564967243105</v>
      </c>
      <c r="O227" s="6">
        <f t="shared" si="60"/>
        <v>5.2821917808219174</v>
      </c>
      <c r="P227" s="6">
        <f t="shared" si="61"/>
        <v>26.410958904109588</v>
      </c>
      <c r="Q227" t="str">
        <f t="shared" si="62"/>
        <v>A</v>
      </c>
      <c r="R227" s="6">
        <f t="shared" si="63"/>
        <v>155.24174696260025</v>
      </c>
      <c r="S227" s="6">
        <f t="shared" si="64"/>
        <v>12.419339757008018</v>
      </c>
      <c r="T227" s="6">
        <f t="shared" si="65"/>
        <v>310.48349392520043</v>
      </c>
      <c r="U227" s="6">
        <f t="shared" si="66"/>
        <v>77.620873481300123</v>
      </c>
      <c r="V227" s="6">
        <f t="shared" si="67"/>
        <v>388.10436740650056</v>
      </c>
      <c r="W227">
        <v>19</v>
      </c>
      <c r="X227" t="str">
        <f t="shared" si="68"/>
        <v>ALERT</v>
      </c>
      <c r="Y227" s="6">
        <f t="shared" si="69"/>
        <v>10</v>
      </c>
      <c r="Z227" s="6">
        <f t="shared" si="70"/>
        <v>50</v>
      </c>
    </row>
    <row r="228" spans="1:26" x14ac:dyDescent="0.3">
      <c r="A228" s="3" t="str">
        <f t="shared" si="54"/>
        <v>SKU227</v>
      </c>
      <c r="B228" s="3">
        <v>1020</v>
      </c>
      <c r="C228" s="3">
        <f t="shared" si="56"/>
        <v>1326</v>
      </c>
      <c r="D228" s="3">
        <v>52.08</v>
      </c>
      <c r="E228" s="3">
        <v>26</v>
      </c>
      <c r="F228" s="3" t="str" cm="1">
        <f t="array" aca="1" ref="F228" ca="1">INDEX({"Electronics","Clothing","Food","Furniture"}, RANDBETWEEN(1,4))</f>
        <v>Food</v>
      </c>
      <c r="G228" s="3">
        <v>50</v>
      </c>
      <c r="H228" s="3">
        <v>2</v>
      </c>
      <c r="I228" s="3">
        <f t="shared" si="55"/>
        <v>53121.599999999999</v>
      </c>
      <c r="J228" s="3">
        <f t="shared" si="71"/>
        <v>22160277.549999993</v>
      </c>
      <c r="K228" s="4">
        <f t="shared" si="57"/>
        <v>0.76037175281506775</v>
      </c>
      <c r="M228" s="6">
        <f t="shared" si="58"/>
        <v>225.83179581272429</v>
      </c>
      <c r="N228" s="6">
        <f t="shared" si="59"/>
        <v>257.48786379167467</v>
      </c>
      <c r="O228" s="6">
        <f t="shared" si="60"/>
        <v>2.7945205479452055</v>
      </c>
      <c r="P228" s="6">
        <f t="shared" si="61"/>
        <v>72.657534246575338</v>
      </c>
      <c r="Q228" t="str">
        <f t="shared" si="62"/>
        <v>A</v>
      </c>
      <c r="R228" s="6">
        <f t="shared" si="63"/>
        <v>112.91589790636215</v>
      </c>
      <c r="S228" s="6">
        <f t="shared" si="64"/>
        <v>9.0332718325089729</v>
      </c>
      <c r="T228" s="6">
        <f t="shared" si="65"/>
        <v>225.83179581272432</v>
      </c>
      <c r="U228" s="6">
        <f t="shared" si="66"/>
        <v>56.457948953181074</v>
      </c>
      <c r="V228" s="6">
        <f t="shared" si="67"/>
        <v>282.28974476590543</v>
      </c>
      <c r="W228">
        <v>86</v>
      </c>
      <c r="X228" t="str">
        <f t="shared" si="68"/>
        <v>OK</v>
      </c>
      <c r="Y228" s="6">
        <f t="shared" si="69"/>
        <v>31</v>
      </c>
      <c r="Z228" s="6">
        <f t="shared" si="70"/>
        <v>93</v>
      </c>
    </row>
    <row r="229" spans="1:26" x14ac:dyDescent="0.3">
      <c r="A229" s="3" t="str">
        <f t="shared" si="54"/>
        <v>SKU228</v>
      </c>
      <c r="B229" s="3">
        <v>929</v>
      </c>
      <c r="C229" s="3">
        <f t="shared" si="56"/>
        <v>1207.7</v>
      </c>
      <c r="D229" s="3">
        <v>56.88</v>
      </c>
      <c r="E229" s="3">
        <v>4</v>
      </c>
      <c r="F229" s="3" t="str" cm="1">
        <f t="array" aca="1" ref="F229" ca="1">INDEX({"Electronics","Clothing","Food","Furniture"}, RANDBETWEEN(1,4))</f>
        <v>Clothing</v>
      </c>
      <c r="G229" s="3">
        <v>50</v>
      </c>
      <c r="H229" s="3">
        <v>2</v>
      </c>
      <c r="I229" s="3">
        <f t="shared" si="55"/>
        <v>52841.520000000004</v>
      </c>
      <c r="J229" s="3">
        <f t="shared" si="71"/>
        <v>22213119.069999993</v>
      </c>
      <c r="K229" s="4">
        <f t="shared" si="57"/>
        <v>0.76218487086348374</v>
      </c>
      <c r="M229" s="6">
        <f t="shared" si="58"/>
        <v>215.52262062252305</v>
      </c>
      <c r="N229" s="6">
        <f t="shared" si="59"/>
        <v>245.73359558676546</v>
      </c>
      <c r="O229" s="6">
        <f t="shared" si="60"/>
        <v>2.5452054794520547</v>
      </c>
      <c r="P229" s="6">
        <f t="shared" si="61"/>
        <v>10.180821917808219</v>
      </c>
      <c r="Q229" t="str">
        <f t="shared" si="62"/>
        <v>A</v>
      </c>
      <c r="R229" s="6">
        <f t="shared" si="63"/>
        <v>107.76131031126152</v>
      </c>
      <c r="S229" s="6">
        <f t="shared" si="64"/>
        <v>8.6209048249009221</v>
      </c>
      <c r="T229" s="6">
        <f t="shared" si="65"/>
        <v>215.52262062252305</v>
      </c>
      <c r="U229" s="6">
        <f t="shared" si="66"/>
        <v>53.880655155630762</v>
      </c>
      <c r="V229" s="6">
        <f t="shared" si="67"/>
        <v>269.40327577815378</v>
      </c>
      <c r="W229">
        <v>52</v>
      </c>
      <c r="X229" t="str">
        <f t="shared" si="68"/>
        <v>OK</v>
      </c>
      <c r="Y229" s="6">
        <f t="shared" si="69"/>
        <v>9</v>
      </c>
      <c r="Z229" s="6">
        <f t="shared" si="70"/>
        <v>27</v>
      </c>
    </row>
    <row r="230" spans="1:26" x14ac:dyDescent="0.3">
      <c r="A230" s="3" t="str">
        <f t="shared" si="54"/>
        <v>SKU229</v>
      </c>
      <c r="B230" s="3">
        <v>792</v>
      </c>
      <c r="C230" s="3">
        <f t="shared" si="56"/>
        <v>1029.6000000000001</v>
      </c>
      <c r="D230" s="3">
        <v>66.540000000000006</v>
      </c>
      <c r="E230" s="3">
        <v>14</v>
      </c>
      <c r="F230" s="3" t="str" cm="1">
        <f t="array" aca="1" ref="F230" ca="1">INDEX({"Electronics","Clothing","Food","Furniture"}, RANDBETWEEN(1,4))</f>
        <v>Food</v>
      </c>
      <c r="G230" s="3">
        <v>50</v>
      </c>
      <c r="H230" s="3">
        <v>2</v>
      </c>
      <c r="I230" s="3">
        <f t="shared" si="55"/>
        <v>52699.680000000008</v>
      </c>
      <c r="J230" s="3">
        <f t="shared" si="71"/>
        <v>22265818.749999993</v>
      </c>
      <c r="K230" s="4">
        <f t="shared" si="57"/>
        <v>0.76399312204463343</v>
      </c>
      <c r="M230" s="6">
        <f t="shared" si="58"/>
        <v>198.997487421324</v>
      </c>
      <c r="N230" s="6">
        <f t="shared" si="59"/>
        <v>226.89204481426847</v>
      </c>
      <c r="O230" s="6">
        <f t="shared" si="60"/>
        <v>2.1698630136986301</v>
      </c>
      <c r="P230" s="6">
        <f t="shared" si="61"/>
        <v>30.37808219178082</v>
      </c>
      <c r="Q230" t="str">
        <f t="shared" si="62"/>
        <v>A</v>
      </c>
      <c r="R230" s="6">
        <f t="shared" si="63"/>
        <v>99.498743710661998</v>
      </c>
      <c r="S230" s="6">
        <f t="shared" si="64"/>
        <v>7.9598994968529597</v>
      </c>
      <c r="T230" s="6">
        <f t="shared" si="65"/>
        <v>198.997487421324</v>
      </c>
      <c r="U230" s="6">
        <f t="shared" si="66"/>
        <v>49.749371855330999</v>
      </c>
      <c r="V230" s="6">
        <f t="shared" si="67"/>
        <v>248.74685927665499</v>
      </c>
      <c r="W230">
        <v>70</v>
      </c>
      <c r="X230" t="str">
        <f t="shared" si="68"/>
        <v>OK</v>
      </c>
      <c r="Y230" s="6">
        <f t="shared" si="69"/>
        <v>19</v>
      </c>
      <c r="Z230" s="6">
        <f t="shared" si="70"/>
        <v>38</v>
      </c>
    </row>
    <row r="231" spans="1:26" x14ac:dyDescent="0.3">
      <c r="A231" s="3" t="str">
        <f t="shared" si="54"/>
        <v>SKU230</v>
      </c>
      <c r="B231" s="3">
        <v>1456</v>
      </c>
      <c r="C231" s="3">
        <f t="shared" si="56"/>
        <v>1892.8</v>
      </c>
      <c r="D231" s="3">
        <v>36.03</v>
      </c>
      <c r="E231" s="3">
        <v>15</v>
      </c>
      <c r="F231" s="3" t="str" cm="1">
        <f t="array" aca="1" ref="F231" ca="1">INDEX({"Electronics","Clothing","Food","Furniture"}, RANDBETWEEN(1,4))</f>
        <v>Food</v>
      </c>
      <c r="G231" s="3">
        <v>50</v>
      </c>
      <c r="H231" s="3">
        <v>2</v>
      </c>
      <c r="I231" s="3">
        <f t="shared" si="55"/>
        <v>52459.68</v>
      </c>
      <c r="J231" s="3">
        <f t="shared" si="71"/>
        <v>22318278.429999992</v>
      </c>
      <c r="K231" s="4">
        <f t="shared" si="57"/>
        <v>0.76579313825578943</v>
      </c>
      <c r="M231" s="6">
        <f t="shared" si="58"/>
        <v>269.81475126464085</v>
      </c>
      <c r="N231" s="6">
        <f t="shared" si="59"/>
        <v>307.63614872118001</v>
      </c>
      <c r="O231" s="6">
        <f t="shared" si="60"/>
        <v>3.989041095890411</v>
      </c>
      <c r="P231" s="6">
        <f t="shared" si="61"/>
        <v>59.835616438356162</v>
      </c>
      <c r="Q231" t="str">
        <f t="shared" si="62"/>
        <v>A</v>
      </c>
      <c r="R231" s="6">
        <f t="shared" si="63"/>
        <v>134.90737563232042</v>
      </c>
      <c r="S231" s="6">
        <f t="shared" si="64"/>
        <v>10.792590050585632</v>
      </c>
      <c r="T231" s="6">
        <f t="shared" si="65"/>
        <v>269.81475126464079</v>
      </c>
      <c r="U231" s="6">
        <f t="shared" si="66"/>
        <v>67.453687816160212</v>
      </c>
      <c r="V231" s="6">
        <f t="shared" si="67"/>
        <v>337.26843908080099</v>
      </c>
      <c r="W231">
        <v>84</v>
      </c>
      <c r="X231" t="str">
        <f t="shared" si="68"/>
        <v>OK</v>
      </c>
      <c r="Y231" s="6">
        <f t="shared" si="69"/>
        <v>20</v>
      </c>
      <c r="Z231" s="6">
        <f t="shared" si="70"/>
        <v>80</v>
      </c>
    </row>
    <row r="232" spans="1:26" x14ac:dyDescent="0.3">
      <c r="A232" s="3" t="str">
        <f t="shared" si="54"/>
        <v>SKU231</v>
      </c>
      <c r="B232" s="3">
        <v>588</v>
      </c>
      <c r="C232" s="3">
        <f t="shared" si="56"/>
        <v>764.4</v>
      </c>
      <c r="D232" s="3">
        <v>88.97</v>
      </c>
      <c r="E232" s="3">
        <v>4</v>
      </c>
      <c r="F232" s="3" t="str" cm="1">
        <f t="array" aca="1" ref="F232" ca="1">INDEX({"Electronics","Clothing","Food","Furniture"}, RANDBETWEEN(1,4))</f>
        <v>Clothing</v>
      </c>
      <c r="G232" s="3">
        <v>50</v>
      </c>
      <c r="H232" s="3">
        <v>2</v>
      </c>
      <c r="I232" s="3">
        <f t="shared" si="55"/>
        <v>52314.36</v>
      </c>
      <c r="J232" s="3">
        <f t="shared" si="71"/>
        <v>22370592.789999992</v>
      </c>
      <c r="K232" s="4">
        <f t="shared" si="57"/>
        <v>0.76758816819261433</v>
      </c>
      <c r="M232" s="6">
        <f t="shared" si="58"/>
        <v>171.46428199482247</v>
      </c>
      <c r="N232" s="6">
        <f t="shared" si="59"/>
        <v>195.49936061276517</v>
      </c>
      <c r="O232" s="6">
        <f t="shared" si="60"/>
        <v>1.6109589041095891</v>
      </c>
      <c r="P232" s="6">
        <f t="shared" si="61"/>
        <v>6.4438356164383563</v>
      </c>
      <c r="Q232" t="str">
        <f t="shared" si="62"/>
        <v>A</v>
      </c>
      <c r="R232" s="6">
        <f t="shared" si="63"/>
        <v>85.732140997411236</v>
      </c>
      <c r="S232" s="6">
        <f t="shared" si="64"/>
        <v>6.8585712797928986</v>
      </c>
      <c r="T232" s="6">
        <f t="shared" si="65"/>
        <v>171.46428199482247</v>
      </c>
      <c r="U232" s="6">
        <f t="shared" si="66"/>
        <v>42.866070498705618</v>
      </c>
      <c r="V232" s="6">
        <f t="shared" si="67"/>
        <v>214.3303524935281</v>
      </c>
      <c r="W232">
        <v>0</v>
      </c>
      <c r="X232" t="str">
        <f t="shared" si="68"/>
        <v>ALERT</v>
      </c>
      <c r="Y232" s="6">
        <f t="shared" si="69"/>
        <v>9</v>
      </c>
      <c r="Z232" s="6">
        <f t="shared" si="70"/>
        <v>18</v>
      </c>
    </row>
    <row r="233" spans="1:26" x14ac:dyDescent="0.3">
      <c r="A233" s="3" t="str">
        <f t="shared" si="54"/>
        <v>SKU232</v>
      </c>
      <c r="B233" s="3">
        <v>1180</v>
      </c>
      <c r="C233" s="3">
        <f t="shared" si="56"/>
        <v>1534</v>
      </c>
      <c r="D233" s="3">
        <v>44.3</v>
      </c>
      <c r="E233" s="3">
        <v>23</v>
      </c>
      <c r="F233" s="3" t="str" cm="1">
        <f t="array" aca="1" ref="F233" ca="1">INDEX({"Electronics","Clothing","Food","Furniture"}, RANDBETWEEN(1,4))</f>
        <v>Food</v>
      </c>
      <c r="G233" s="3">
        <v>50</v>
      </c>
      <c r="H233" s="3">
        <v>2</v>
      </c>
      <c r="I233" s="3">
        <f t="shared" si="55"/>
        <v>52274</v>
      </c>
      <c r="J233" s="3">
        <f t="shared" si="71"/>
        <v>22422866.789999992</v>
      </c>
      <c r="K233" s="4">
        <f t="shared" si="57"/>
        <v>0.76938181328198529</v>
      </c>
      <c r="M233" s="6">
        <f t="shared" si="58"/>
        <v>242.89915602982239</v>
      </c>
      <c r="N233" s="6">
        <f t="shared" si="59"/>
        <v>276.94764848252458</v>
      </c>
      <c r="O233" s="6">
        <f t="shared" si="60"/>
        <v>3.2328767123287672</v>
      </c>
      <c r="P233" s="6">
        <f t="shared" si="61"/>
        <v>74.356164383561648</v>
      </c>
      <c r="Q233" t="str">
        <f t="shared" si="62"/>
        <v>A</v>
      </c>
      <c r="R233" s="6">
        <f t="shared" si="63"/>
        <v>121.4495780149112</v>
      </c>
      <c r="S233" s="6">
        <f t="shared" si="64"/>
        <v>9.7159662411928949</v>
      </c>
      <c r="T233" s="6">
        <f t="shared" si="65"/>
        <v>242.89915602982236</v>
      </c>
      <c r="U233" s="6">
        <f t="shared" si="66"/>
        <v>60.724789007455598</v>
      </c>
      <c r="V233" s="6">
        <f t="shared" si="67"/>
        <v>303.62394503727796</v>
      </c>
      <c r="W233">
        <v>82</v>
      </c>
      <c r="X233" t="str">
        <f t="shared" si="68"/>
        <v>OK</v>
      </c>
      <c r="Y233" s="6">
        <f t="shared" si="69"/>
        <v>28</v>
      </c>
      <c r="Z233" s="6">
        <f t="shared" si="70"/>
        <v>84</v>
      </c>
    </row>
    <row r="234" spans="1:26" x14ac:dyDescent="0.3">
      <c r="A234" s="3" t="str">
        <f t="shared" si="54"/>
        <v>SKU233</v>
      </c>
      <c r="B234" s="3">
        <v>835</v>
      </c>
      <c r="C234" s="3">
        <f t="shared" si="56"/>
        <v>1085.5</v>
      </c>
      <c r="D234" s="3">
        <v>62.57</v>
      </c>
      <c r="E234" s="3">
        <v>18</v>
      </c>
      <c r="F234" s="3" t="str" cm="1">
        <f t="array" aca="1" ref="F234" ca="1">INDEX({"Electronics","Clothing","Food","Furniture"}, RANDBETWEEN(1,4))</f>
        <v>Clothing</v>
      </c>
      <c r="G234" s="3">
        <v>50</v>
      </c>
      <c r="H234" s="3">
        <v>2</v>
      </c>
      <c r="I234" s="3">
        <f t="shared" si="55"/>
        <v>52245.95</v>
      </c>
      <c r="J234" s="3">
        <f t="shared" si="71"/>
        <v>22475112.739999991</v>
      </c>
      <c r="K234" s="4">
        <f t="shared" si="57"/>
        <v>0.77117449590923814</v>
      </c>
      <c r="M234" s="6">
        <f t="shared" si="58"/>
        <v>204.3281674170255</v>
      </c>
      <c r="N234" s="6">
        <f t="shared" si="59"/>
        <v>232.96995514443489</v>
      </c>
      <c r="O234" s="6">
        <f t="shared" si="60"/>
        <v>2.2876712328767121</v>
      </c>
      <c r="P234" s="6">
        <f t="shared" si="61"/>
        <v>41.178082191780817</v>
      </c>
      <c r="Q234" t="str">
        <f t="shared" si="62"/>
        <v>A</v>
      </c>
      <c r="R234" s="6">
        <f t="shared" si="63"/>
        <v>102.16408370851275</v>
      </c>
      <c r="S234" s="6">
        <f t="shared" si="64"/>
        <v>8.1731266966810203</v>
      </c>
      <c r="T234" s="6">
        <f t="shared" si="65"/>
        <v>204.3281674170255</v>
      </c>
      <c r="U234" s="6">
        <f t="shared" si="66"/>
        <v>51.082041854256374</v>
      </c>
      <c r="V234" s="6">
        <f t="shared" si="67"/>
        <v>255.41020927128187</v>
      </c>
      <c r="W234">
        <v>12</v>
      </c>
      <c r="X234" t="str">
        <f t="shared" si="68"/>
        <v>ALERT</v>
      </c>
      <c r="Y234" s="6">
        <f t="shared" si="69"/>
        <v>23</v>
      </c>
      <c r="Z234" s="6">
        <f t="shared" si="70"/>
        <v>46</v>
      </c>
    </row>
    <row r="235" spans="1:26" x14ac:dyDescent="0.3">
      <c r="A235" s="3" t="str">
        <f t="shared" si="54"/>
        <v>SKU234</v>
      </c>
      <c r="B235" s="3">
        <v>1411</v>
      </c>
      <c r="C235" s="3">
        <f t="shared" si="56"/>
        <v>1834.3</v>
      </c>
      <c r="D235" s="3">
        <v>36.97</v>
      </c>
      <c r="E235" s="3">
        <v>21</v>
      </c>
      <c r="F235" s="3" t="str" cm="1">
        <f t="array" aca="1" ref="F235" ca="1">INDEX({"Electronics","Clothing","Food","Furniture"}, RANDBETWEEN(1,4))</f>
        <v>Food</v>
      </c>
      <c r="G235" s="3">
        <v>50</v>
      </c>
      <c r="H235" s="3">
        <v>2</v>
      </c>
      <c r="I235" s="3">
        <f t="shared" si="55"/>
        <v>52164.67</v>
      </c>
      <c r="J235" s="3">
        <f t="shared" si="71"/>
        <v>22527277.409999993</v>
      </c>
      <c r="K235" s="4">
        <f t="shared" si="57"/>
        <v>0.77296438962665337</v>
      </c>
      <c r="M235" s="6">
        <f t="shared" si="58"/>
        <v>265.61249970586852</v>
      </c>
      <c r="N235" s="6">
        <f t="shared" si="59"/>
        <v>302.84484476378327</v>
      </c>
      <c r="O235" s="6">
        <f t="shared" si="60"/>
        <v>3.8657534246575342</v>
      </c>
      <c r="P235" s="6">
        <f t="shared" si="61"/>
        <v>81.180821917808217</v>
      </c>
      <c r="Q235" t="str">
        <f t="shared" si="62"/>
        <v>A</v>
      </c>
      <c r="R235" s="6">
        <f t="shared" si="63"/>
        <v>132.80624985293426</v>
      </c>
      <c r="S235" s="6">
        <f t="shared" si="64"/>
        <v>10.62449998823474</v>
      </c>
      <c r="T235" s="6">
        <f t="shared" si="65"/>
        <v>265.61249970586852</v>
      </c>
      <c r="U235" s="6">
        <f t="shared" si="66"/>
        <v>66.403124926467129</v>
      </c>
      <c r="V235" s="6">
        <f t="shared" si="67"/>
        <v>332.01562463233563</v>
      </c>
      <c r="W235">
        <v>123</v>
      </c>
      <c r="X235" t="str">
        <f t="shared" si="68"/>
        <v>OK</v>
      </c>
      <c r="Y235" s="6">
        <f t="shared" si="69"/>
        <v>26</v>
      </c>
      <c r="Z235" s="6">
        <f t="shared" si="70"/>
        <v>104</v>
      </c>
    </row>
    <row r="236" spans="1:26" x14ac:dyDescent="0.3">
      <c r="A236" s="3" t="str">
        <f t="shared" si="54"/>
        <v>SKU235</v>
      </c>
      <c r="B236" s="3">
        <v>1147</v>
      </c>
      <c r="C236" s="3">
        <f t="shared" si="56"/>
        <v>1491.1000000000001</v>
      </c>
      <c r="D236" s="3">
        <v>45.15</v>
      </c>
      <c r="E236" s="3">
        <v>10</v>
      </c>
      <c r="F236" s="3" t="str" cm="1">
        <f t="array" aca="1" ref="F236" ca="1">INDEX({"Electronics","Clothing","Food","Furniture"}, RANDBETWEEN(1,4))</f>
        <v>Clothing</v>
      </c>
      <c r="G236" s="3">
        <v>50</v>
      </c>
      <c r="H236" s="3">
        <v>2</v>
      </c>
      <c r="I236" s="3">
        <f t="shared" si="55"/>
        <v>51787.049999999996</v>
      </c>
      <c r="J236" s="3">
        <f t="shared" si="71"/>
        <v>22579064.459999993</v>
      </c>
      <c r="K236" s="4">
        <f t="shared" si="57"/>
        <v>0.7747413263050309</v>
      </c>
      <c r="M236" s="6">
        <f t="shared" si="58"/>
        <v>239.47860029656096</v>
      </c>
      <c r="N236" s="6">
        <f t="shared" si="59"/>
        <v>273.04761489527795</v>
      </c>
      <c r="O236" s="6">
        <f t="shared" si="60"/>
        <v>3.1424657534246574</v>
      </c>
      <c r="P236" s="6">
        <f t="shared" si="61"/>
        <v>31.424657534246574</v>
      </c>
      <c r="Q236" t="str">
        <f t="shared" si="62"/>
        <v>A</v>
      </c>
      <c r="R236" s="6">
        <f t="shared" si="63"/>
        <v>119.73930014828048</v>
      </c>
      <c r="S236" s="6">
        <f t="shared" si="64"/>
        <v>9.5791440118624376</v>
      </c>
      <c r="T236" s="6">
        <f t="shared" si="65"/>
        <v>239.47860029656093</v>
      </c>
      <c r="U236" s="6">
        <f t="shared" si="66"/>
        <v>59.869650074140239</v>
      </c>
      <c r="V236" s="6">
        <f t="shared" si="67"/>
        <v>299.34825037070118</v>
      </c>
      <c r="W236">
        <v>11</v>
      </c>
      <c r="X236" t="str">
        <f t="shared" si="68"/>
        <v>ALERT</v>
      </c>
      <c r="Y236" s="6">
        <f t="shared" si="69"/>
        <v>15</v>
      </c>
      <c r="Z236" s="6">
        <f t="shared" si="70"/>
        <v>45</v>
      </c>
    </row>
    <row r="237" spans="1:26" x14ac:dyDescent="0.3">
      <c r="A237" s="3" t="str">
        <f t="shared" si="54"/>
        <v>SKU236</v>
      </c>
      <c r="B237" s="3">
        <v>1637</v>
      </c>
      <c r="C237" s="3">
        <f t="shared" si="56"/>
        <v>2128.1</v>
      </c>
      <c r="D237" s="3">
        <v>31.62</v>
      </c>
      <c r="E237" s="3">
        <v>22</v>
      </c>
      <c r="F237" s="3" t="str" cm="1">
        <f t="array" aca="1" ref="F237" ca="1">INDEX({"Electronics","Clothing","Food","Furniture"}, RANDBETWEEN(1,4))</f>
        <v>Food</v>
      </c>
      <c r="G237" s="3">
        <v>50</v>
      </c>
      <c r="H237" s="3">
        <v>2</v>
      </c>
      <c r="I237" s="3">
        <f t="shared" si="55"/>
        <v>51761.94</v>
      </c>
      <c r="J237" s="3">
        <f t="shared" si="71"/>
        <v>22630826.399999995</v>
      </c>
      <c r="K237" s="4">
        <f t="shared" si="57"/>
        <v>0.77651740139967296</v>
      </c>
      <c r="M237" s="6">
        <f t="shared" si="58"/>
        <v>286.09439001839934</v>
      </c>
      <c r="N237" s="6">
        <f t="shared" si="59"/>
        <v>326.19779275770708</v>
      </c>
      <c r="O237" s="6">
        <f t="shared" si="60"/>
        <v>4.484931506849315</v>
      </c>
      <c r="P237" s="6">
        <f t="shared" si="61"/>
        <v>98.668493150684924</v>
      </c>
      <c r="Q237" t="str">
        <f t="shared" si="62"/>
        <v>A</v>
      </c>
      <c r="R237" s="6">
        <f t="shared" si="63"/>
        <v>143.04719500919967</v>
      </c>
      <c r="S237" s="6">
        <f t="shared" si="64"/>
        <v>11.443775600735973</v>
      </c>
      <c r="T237" s="6">
        <f t="shared" si="65"/>
        <v>286.09439001839934</v>
      </c>
      <c r="U237" s="6">
        <f t="shared" si="66"/>
        <v>71.523597504599834</v>
      </c>
      <c r="V237" s="6">
        <f t="shared" si="67"/>
        <v>357.61798752299916</v>
      </c>
      <c r="W237">
        <v>135</v>
      </c>
      <c r="X237" t="str">
        <f t="shared" si="68"/>
        <v>OK</v>
      </c>
      <c r="Y237" s="6">
        <f t="shared" si="69"/>
        <v>27</v>
      </c>
      <c r="Z237" s="6">
        <f t="shared" si="70"/>
        <v>108</v>
      </c>
    </row>
    <row r="238" spans="1:26" x14ac:dyDescent="0.3">
      <c r="A238" s="3" t="str">
        <f t="shared" si="54"/>
        <v>SKU237</v>
      </c>
      <c r="B238" s="3">
        <v>1190</v>
      </c>
      <c r="C238" s="3">
        <f t="shared" si="56"/>
        <v>1547</v>
      </c>
      <c r="D238" s="3">
        <v>42.86</v>
      </c>
      <c r="E238" s="3">
        <v>17</v>
      </c>
      <c r="F238" s="3" t="str" cm="1">
        <f t="array" aca="1" ref="F238" ca="1">INDEX({"Electronics","Clothing","Food","Furniture"}, RANDBETWEEN(1,4))</f>
        <v>Clothing</v>
      </c>
      <c r="G238" s="3">
        <v>50</v>
      </c>
      <c r="H238" s="3">
        <v>2</v>
      </c>
      <c r="I238" s="3">
        <f t="shared" si="55"/>
        <v>51003.4</v>
      </c>
      <c r="J238" s="3">
        <f t="shared" si="71"/>
        <v>22681829.799999993</v>
      </c>
      <c r="K238" s="4">
        <f t="shared" si="57"/>
        <v>0.77826744918540236</v>
      </c>
      <c r="M238" s="6">
        <f t="shared" si="58"/>
        <v>243.92621835300935</v>
      </c>
      <c r="N238" s="6">
        <f t="shared" si="59"/>
        <v>278.11867970346759</v>
      </c>
      <c r="O238" s="6">
        <f t="shared" si="60"/>
        <v>3.2602739726027399</v>
      </c>
      <c r="P238" s="6">
        <f t="shared" si="61"/>
        <v>55.424657534246577</v>
      </c>
      <c r="Q238" t="str">
        <f t="shared" si="62"/>
        <v>A</v>
      </c>
      <c r="R238" s="6">
        <f t="shared" si="63"/>
        <v>121.96310917650467</v>
      </c>
      <c r="S238" s="6">
        <f t="shared" si="64"/>
        <v>9.7570487341203744</v>
      </c>
      <c r="T238" s="6">
        <f t="shared" si="65"/>
        <v>243.92621835300935</v>
      </c>
      <c r="U238" s="6">
        <f t="shared" si="66"/>
        <v>60.981554588252337</v>
      </c>
      <c r="V238" s="6">
        <f t="shared" si="67"/>
        <v>304.90777294126167</v>
      </c>
      <c r="W238">
        <v>58</v>
      </c>
      <c r="X238" t="str">
        <f t="shared" si="68"/>
        <v>OK</v>
      </c>
      <c r="Y238" s="6">
        <f t="shared" si="69"/>
        <v>22</v>
      </c>
      <c r="Z238" s="6">
        <f t="shared" si="70"/>
        <v>66</v>
      </c>
    </row>
    <row r="239" spans="1:26" x14ac:dyDescent="0.3">
      <c r="A239" s="3" t="str">
        <f t="shared" si="54"/>
        <v>SKU238</v>
      </c>
      <c r="B239" s="3">
        <v>1514</v>
      </c>
      <c r="C239" s="3">
        <f t="shared" si="56"/>
        <v>1968.2</v>
      </c>
      <c r="D239" s="3">
        <v>33.67</v>
      </c>
      <c r="E239" s="3">
        <v>1</v>
      </c>
      <c r="F239" s="3" t="str" cm="1">
        <f t="array" aca="1" ref="F239" ca="1">INDEX({"Electronics","Clothing","Food","Furniture"}, RANDBETWEEN(1,4))</f>
        <v>Clothing</v>
      </c>
      <c r="G239" s="3">
        <v>50</v>
      </c>
      <c r="H239" s="3">
        <v>2</v>
      </c>
      <c r="I239" s="3">
        <f t="shared" si="55"/>
        <v>50976.380000000005</v>
      </c>
      <c r="J239" s="3">
        <f t="shared" si="71"/>
        <v>22732806.179999992</v>
      </c>
      <c r="K239" s="4">
        <f t="shared" si="57"/>
        <v>0.78001656985075996</v>
      </c>
      <c r="M239" s="6">
        <f t="shared" si="58"/>
        <v>275.13632984395207</v>
      </c>
      <c r="N239" s="6">
        <f t="shared" si="59"/>
        <v>313.70368184004474</v>
      </c>
      <c r="O239" s="6">
        <f t="shared" si="60"/>
        <v>4.1479452054794521</v>
      </c>
      <c r="P239" s="6">
        <f t="shared" si="61"/>
        <v>4.1479452054794521</v>
      </c>
      <c r="Q239" t="str">
        <f t="shared" si="62"/>
        <v>A</v>
      </c>
      <c r="R239" s="6">
        <f t="shared" si="63"/>
        <v>137.56816492197603</v>
      </c>
      <c r="S239" s="6">
        <f t="shared" si="64"/>
        <v>11.005453193758084</v>
      </c>
      <c r="T239" s="6">
        <f t="shared" si="65"/>
        <v>275.13632984395213</v>
      </c>
      <c r="U239" s="6">
        <f t="shared" si="66"/>
        <v>68.784082460988017</v>
      </c>
      <c r="V239" s="6">
        <f t="shared" si="67"/>
        <v>343.92041230494016</v>
      </c>
      <c r="W239">
        <v>39</v>
      </c>
      <c r="X239" t="str">
        <f t="shared" si="68"/>
        <v>OK</v>
      </c>
      <c r="Y239" s="6">
        <f t="shared" si="69"/>
        <v>6</v>
      </c>
      <c r="Z239" s="6">
        <f t="shared" si="70"/>
        <v>24</v>
      </c>
    </row>
    <row r="240" spans="1:26" x14ac:dyDescent="0.3">
      <c r="A240" s="3" t="str">
        <f t="shared" si="54"/>
        <v>SKU239</v>
      </c>
      <c r="B240" s="3">
        <v>593</v>
      </c>
      <c r="C240" s="3">
        <f t="shared" si="56"/>
        <v>770.9</v>
      </c>
      <c r="D240" s="3">
        <v>85.63</v>
      </c>
      <c r="E240" s="3">
        <v>24</v>
      </c>
      <c r="F240" s="3" t="str" cm="1">
        <f t="array" aca="1" ref="F240" ca="1">INDEX({"Electronics","Clothing","Food","Furniture"}, RANDBETWEEN(1,4))</f>
        <v>Furniture</v>
      </c>
      <c r="G240" s="3">
        <v>50</v>
      </c>
      <c r="H240" s="3">
        <v>2</v>
      </c>
      <c r="I240" s="3">
        <f t="shared" si="55"/>
        <v>50778.59</v>
      </c>
      <c r="J240" s="3">
        <f t="shared" si="71"/>
        <v>22783584.769999992</v>
      </c>
      <c r="K240" s="4">
        <f t="shared" si="57"/>
        <v>0.78175890387147162</v>
      </c>
      <c r="M240" s="6">
        <f t="shared" si="58"/>
        <v>172.19175357722565</v>
      </c>
      <c r="N240" s="6">
        <f t="shared" si="59"/>
        <v>196.32880583347927</v>
      </c>
      <c r="O240" s="6">
        <f t="shared" si="60"/>
        <v>1.6246575342465754</v>
      </c>
      <c r="P240" s="6">
        <f t="shared" si="61"/>
        <v>38.991780821917814</v>
      </c>
      <c r="Q240" t="str">
        <f t="shared" si="62"/>
        <v>A</v>
      </c>
      <c r="R240" s="6">
        <f t="shared" si="63"/>
        <v>86.095876788612827</v>
      </c>
      <c r="S240" s="6">
        <f t="shared" si="64"/>
        <v>6.887670143089025</v>
      </c>
      <c r="T240" s="6">
        <f t="shared" si="65"/>
        <v>172.19175357722563</v>
      </c>
      <c r="U240" s="6">
        <f t="shared" si="66"/>
        <v>43.047938394306414</v>
      </c>
      <c r="V240" s="6">
        <f t="shared" si="67"/>
        <v>215.23969197153204</v>
      </c>
      <c r="W240">
        <v>64</v>
      </c>
      <c r="X240" t="str">
        <f t="shared" si="68"/>
        <v>OK</v>
      </c>
      <c r="Y240" s="6">
        <f t="shared" si="69"/>
        <v>29</v>
      </c>
      <c r="Z240" s="6">
        <f t="shared" si="70"/>
        <v>58</v>
      </c>
    </row>
    <row r="241" spans="1:26" x14ac:dyDescent="0.3">
      <c r="A241" s="3" t="str">
        <f t="shared" si="54"/>
        <v>SKU240</v>
      </c>
      <c r="B241" s="3">
        <v>931</v>
      </c>
      <c r="C241" s="3">
        <f t="shared" si="56"/>
        <v>1210.3</v>
      </c>
      <c r="D241" s="3">
        <v>54.31</v>
      </c>
      <c r="E241" s="3">
        <v>12</v>
      </c>
      <c r="F241" s="3" t="str" cm="1">
        <f t="array" aca="1" ref="F241" ca="1">INDEX({"Electronics","Clothing","Food","Furniture"}, RANDBETWEEN(1,4))</f>
        <v>Clothing</v>
      </c>
      <c r="G241" s="3">
        <v>50</v>
      </c>
      <c r="H241" s="3">
        <v>2</v>
      </c>
      <c r="I241" s="3">
        <f t="shared" si="55"/>
        <v>50562.61</v>
      </c>
      <c r="J241" s="3">
        <f t="shared" si="71"/>
        <v>22834147.379999992</v>
      </c>
      <c r="K241" s="4">
        <f t="shared" si="57"/>
        <v>0.78349382710543647</v>
      </c>
      <c r="M241" s="6">
        <f t="shared" si="58"/>
        <v>215.75449010391418</v>
      </c>
      <c r="N241" s="6">
        <f t="shared" si="59"/>
        <v>245.99796747127812</v>
      </c>
      <c r="O241" s="6">
        <f t="shared" si="60"/>
        <v>2.5506849315068494</v>
      </c>
      <c r="P241" s="6">
        <f t="shared" si="61"/>
        <v>30.608219178082194</v>
      </c>
      <c r="Q241" t="str">
        <f t="shared" si="62"/>
        <v>A</v>
      </c>
      <c r="R241" s="6">
        <f t="shared" si="63"/>
        <v>107.87724505195709</v>
      </c>
      <c r="S241" s="6">
        <f t="shared" si="64"/>
        <v>8.6301796041565666</v>
      </c>
      <c r="T241" s="6">
        <f t="shared" si="65"/>
        <v>215.75449010391418</v>
      </c>
      <c r="U241" s="6">
        <f t="shared" si="66"/>
        <v>53.938622525978545</v>
      </c>
      <c r="V241" s="6">
        <f t="shared" si="67"/>
        <v>269.69311262989271</v>
      </c>
      <c r="W241">
        <v>6</v>
      </c>
      <c r="X241" t="str">
        <f t="shared" si="68"/>
        <v>ALERT</v>
      </c>
      <c r="Y241" s="6">
        <f t="shared" si="69"/>
        <v>17</v>
      </c>
      <c r="Z241" s="6">
        <f t="shared" si="70"/>
        <v>51</v>
      </c>
    </row>
    <row r="242" spans="1:26" x14ac:dyDescent="0.3">
      <c r="A242" s="3" t="str">
        <f t="shared" si="54"/>
        <v>SKU241</v>
      </c>
      <c r="B242" s="3">
        <v>644</v>
      </c>
      <c r="C242" s="3">
        <f t="shared" si="56"/>
        <v>837.2</v>
      </c>
      <c r="D242" s="3">
        <v>77.38</v>
      </c>
      <c r="E242" s="3">
        <v>4</v>
      </c>
      <c r="F242" s="3" t="str" cm="1">
        <f t="array" aca="1" ref="F242" ca="1">INDEX({"Electronics","Clothing","Food","Furniture"}, RANDBETWEEN(1,4))</f>
        <v>Electronics</v>
      </c>
      <c r="G242" s="3">
        <v>50</v>
      </c>
      <c r="H242" s="3">
        <v>2</v>
      </c>
      <c r="I242" s="3">
        <f t="shared" si="55"/>
        <v>49832.719999999994</v>
      </c>
      <c r="J242" s="3">
        <f t="shared" si="71"/>
        <v>22883980.09999999</v>
      </c>
      <c r="K242" s="4">
        <f t="shared" si="57"/>
        <v>0.78520370608003176</v>
      </c>
      <c r="M242" s="6">
        <f t="shared" si="58"/>
        <v>179.4435844492636</v>
      </c>
      <c r="N242" s="6">
        <f t="shared" si="59"/>
        <v>204.5971651807522</v>
      </c>
      <c r="O242" s="6">
        <f t="shared" si="60"/>
        <v>1.7643835616438357</v>
      </c>
      <c r="P242" s="6">
        <f t="shared" si="61"/>
        <v>7.0575342465753428</v>
      </c>
      <c r="Q242" t="str">
        <f t="shared" si="62"/>
        <v>A</v>
      </c>
      <c r="R242" s="6">
        <f t="shared" si="63"/>
        <v>89.721792224631798</v>
      </c>
      <c r="S242" s="6">
        <f t="shared" si="64"/>
        <v>7.1777433779705451</v>
      </c>
      <c r="T242" s="6">
        <f t="shared" si="65"/>
        <v>179.44358444926362</v>
      </c>
      <c r="U242" s="6">
        <f t="shared" si="66"/>
        <v>44.860896112315899</v>
      </c>
      <c r="V242" s="6">
        <f t="shared" si="67"/>
        <v>224.30448056157951</v>
      </c>
      <c r="W242">
        <v>4</v>
      </c>
      <c r="X242" t="str">
        <f t="shared" si="68"/>
        <v>ALERT</v>
      </c>
      <c r="Y242" s="6">
        <f t="shared" si="69"/>
        <v>9</v>
      </c>
      <c r="Z242" s="6">
        <f t="shared" si="70"/>
        <v>18</v>
      </c>
    </row>
    <row r="243" spans="1:26" x14ac:dyDescent="0.3">
      <c r="A243" s="3" t="str">
        <f t="shared" si="54"/>
        <v>SKU242</v>
      </c>
      <c r="B243" s="3">
        <v>1628</v>
      </c>
      <c r="C243" s="3">
        <f t="shared" si="56"/>
        <v>2116.4</v>
      </c>
      <c r="D243" s="3">
        <v>30.56</v>
      </c>
      <c r="E243" s="3">
        <v>13</v>
      </c>
      <c r="F243" s="3" t="str" cm="1">
        <f t="array" aca="1" ref="F243" ca="1">INDEX({"Electronics","Clothing","Food","Furniture"}, RANDBETWEEN(1,4))</f>
        <v>Electronics</v>
      </c>
      <c r="G243" s="3">
        <v>50</v>
      </c>
      <c r="H243" s="3">
        <v>2</v>
      </c>
      <c r="I243" s="3">
        <f t="shared" si="55"/>
        <v>49751.68</v>
      </c>
      <c r="J243" s="3">
        <f t="shared" si="71"/>
        <v>22933731.77999999</v>
      </c>
      <c r="K243" s="4">
        <f t="shared" si="57"/>
        <v>0.78691080437975924</v>
      </c>
      <c r="M243" s="6">
        <f t="shared" si="58"/>
        <v>285.3068523537421</v>
      </c>
      <c r="N243" s="6">
        <f t="shared" si="59"/>
        <v>325.29986166612491</v>
      </c>
      <c r="O243" s="6">
        <f t="shared" si="60"/>
        <v>4.4602739726027396</v>
      </c>
      <c r="P243" s="6">
        <f t="shared" si="61"/>
        <v>57.983561643835614</v>
      </c>
      <c r="Q243" t="str">
        <f t="shared" si="62"/>
        <v>A</v>
      </c>
      <c r="R243" s="6">
        <f t="shared" si="63"/>
        <v>142.65342617687105</v>
      </c>
      <c r="S243" s="6">
        <f t="shared" si="64"/>
        <v>11.412274094149685</v>
      </c>
      <c r="T243" s="6">
        <f t="shared" si="65"/>
        <v>285.30685235374216</v>
      </c>
      <c r="U243" s="6">
        <f t="shared" si="66"/>
        <v>71.326713088435525</v>
      </c>
      <c r="V243" s="6">
        <f t="shared" si="67"/>
        <v>356.63356544217766</v>
      </c>
      <c r="W243">
        <v>61</v>
      </c>
      <c r="X243" t="str">
        <f t="shared" si="68"/>
        <v>OK</v>
      </c>
      <c r="Y243" s="6">
        <f t="shared" si="69"/>
        <v>18</v>
      </c>
      <c r="Z243" s="6">
        <f t="shared" si="70"/>
        <v>72</v>
      </c>
    </row>
    <row r="244" spans="1:26" x14ac:dyDescent="0.3">
      <c r="A244" s="3" t="str">
        <f t="shared" si="54"/>
        <v>SKU243</v>
      </c>
      <c r="B244" s="3">
        <v>1256</v>
      </c>
      <c r="C244" s="3">
        <f t="shared" si="56"/>
        <v>1632.8</v>
      </c>
      <c r="D244" s="3">
        <v>39.17</v>
      </c>
      <c r="E244" s="3">
        <v>18</v>
      </c>
      <c r="F244" s="3" t="str" cm="1">
        <f t="array" aca="1" ref="F244" ca="1">INDEX({"Electronics","Clothing","Food","Furniture"}, RANDBETWEEN(1,4))</f>
        <v>Clothing</v>
      </c>
      <c r="G244" s="3">
        <v>50</v>
      </c>
      <c r="H244" s="3">
        <v>2</v>
      </c>
      <c r="I244" s="3">
        <f t="shared" si="55"/>
        <v>49197.520000000004</v>
      </c>
      <c r="J244" s="3">
        <f t="shared" si="71"/>
        <v>22982929.29999999</v>
      </c>
      <c r="K244" s="4">
        <f t="shared" si="57"/>
        <v>0.78859888813377133</v>
      </c>
      <c r="M244" s="6">
        <f t="shared" si="58"/>
        <v>250.59928172283335</v>
      </c>
      <c r="N244" s="6">
        <f t="shared" si="59"/>
        <v>285.72714256787015</v>
      </c>
      <c r="O244" s="6">
        <f t="shared" si="60"/>
        <v>3.441095890410959</v>
      </c>
      <c r="P244" s="6">
        <f t="shared" si="61"/>
        <v>61.939726027397263</v>
      </c>
      <c r="Q244" t="str">
        <f t="shared" si="62"/>
        <v>A</v>
      </c>
      <c r="R244" s="6">
        <f t="shared" si="63"/>
        <v>125.29964086141668</v>
      </c>
      <c r="S244" s="6">
        <f t="shared" si="64"/>
        <v>10.023971268913334</v>
      </c>
      <c r="T244" s="6">
        <f t="shared" si="65"/>
        <v>250.59928172283335</v>
      </c>
      <c r="U244" s="6">
        <f t="shared" si="66"/>
        <v>62.649820430708338</v>
      </c>
      <c r="V244" s="6">
        <f t="shared" si="67"/>
        <v>313.24910215354168</v>
      </c>
      <c r="W244">
        <v>34</v>
      </c>
      <c r="X244" t="str">
        <f t="shared" si="68"/>
        <v>ALERT</v>
      </c>
      <c r="Y244" s="6">
        <f t="shared" si="69"/>
        <v>23</v>
      </c>
      <c r="Z244" s="6">
        <f t="shared" si="70"/>
        <v>69</v>
      </c>
    </row>
    <row r="245" spans="1:26" x14ac:dyDescent="0.3">
      <c r="A245" s="3" t="str">
        <f t="shared" si="54"/>
        <v>SKU244</v>
      </c>
      <c r="B245" s="3">
        <v>1219</v>
      </c>
      <c r="C245" s="3">
        <f t="shared" si="56"/>
        <v>1584.7</v>
      </c>
      <c r="D245" s="3">
        <v>40.04</v>
      </c>
      <c r="E245" s="3">
        <v>8</v>
      </c>
      <c r="F245" s="3" t="str" cm="1">
        <f t="array" aca="1" ref="F245" ca="1">INDEX({"Electronics","Clothing","Food","Furniture"}, RANDBETWEEN(1,4))</f>
        <v>Electronics</v>
      </c>
      <c r="G245" s="3">
        <v>50</v>
      </c>
      <c r="H245" s="3">
        <v>2</v>
      </c>
      <c r="I245" s="3">
        <f t="shared" si="55"/>
        <v>48808.76</v>
      </c>
      <c r="J245" s="3">
        <f t="shared" si="71"/>
        <v>23031738.059999991</v>
      </c>
      <c r="K245" s="4">
        <f t="shared" si="57"/>
        <v>0.79027363260888883</v>
      </c>
      <c r="M245" s="6">
        <f t="shared" si="58"/>
        <v>246.88053791257016</v>
      </c>
      <c r="N245" s="6">
        <f t="shared" si="59"/>
        <v>281.48712226316854</v>
      </c>
      <c r="O245" s="6">
        <f t="shared" si="60"/>
        <v>3.3397260273972602</v>
      </c>
      <c r="P245" s="6">
        <f t="shared" si="61"/>
        <v>26.717808219178082</v>
      </c>
      <c r="Q245" t="str">
        <f t="shared" si="62"/>
        <v>A</v>
      </c>
      <c r="R245" s="6">
        <f t="shared" si="63"/>
        <v>123.44026895628508</v>
      </c>
      <c r="S245" s="6">
        <f t="shared" si="64"/>
        <v>9.8752215165028083</v>
      </c>
      <c r="T245" s="6">
        <f t="shared" si="65"/>
        <v>246.88053791257022</v>
      </c>
      <c r="U245" s="6">
        <f t="shared" si="66"/>
        <v>61.720134478142541</v>
      </c>
      <c r="V245" s="6">
        <f t="shared" si="67"/>
        <v>308.60067239071276</v>
      </c>
      <c r="W245">
        <v>60</v>
      </c>
      <c r="X245" t="str">
        <f t="shared" si="68"/>
        <v>OK</v>
      </c>
      <c r="Y245" s="6">
        <f t="shared" si="69"/>
        <v>13</v>
      </c>
      <c r="Z245" s="6">
        <f t="shared" si="70"/>
        <v>39</v>
      </c>
    </row>
    <row r="246" spans="1:26" x14ac:dyDescent="0.3">
      <c r="A246" s="3" t="str">
        <f t="shared" si="54"/>
        <v>SKU245</v>
      </c>
      <c r="B246" s="3">
        <v>1374</v>
      </c>
      <c r="C246" s="3">
        <f t="shared" si="56"/>
        <v>1786.2</v>
      </c>
      <c r="D246" s="3">
        <v>35.299999999999997</v>
      </c>
      <c r="E246" s="3">
        <v>12</v>
      </c>
      <c r="F246" s="3" t="str" cm="1">
        <f t="array" aca="1" ref="F246" ca="1">INDEX({"Electronics","Clothing","Food","Furniture"}, RANDBETWEEN(1,4))</f>
        <v>Food</v>
      </c>
      <c r="G246" s="3">
        <v>50</v>
      </c>
      <c r="H246" s="3">
        <v>2</v>
      </c>
      <c r="I246" s="3">
        <f t="shared" si="55"/>
        <v>48502.2</v>
      </c>
      <c r="J246" s="3">
        <f t="shared" si="71"/>
        <v>23080240.25999999</v>
      </c>
      <c r="K246" s="4">
        <f t="shared" si="57"/>
        <v>0.79193785828233421</v>
      </c>
      <c r="M246" s="6">
        <f t="shared" si="58"/>
        <v>262.10684844162313</v>
      </c>
      <c r="N246" s="6">
        <f t="shared" si="59"/>
        <v>298.84778734332298</v>
      </c>
      <c r="O246" s="6">
        <f t="shared" si="60"/>
        <v>3.7643835616438355</v>
      </c>
      <c r="P246" s="6">
        <f t="shared" si="61"/>
        <v>45.172602739726024</v>
      </c>
      <c r="Q246" t="str">
        <f t="shared" si="62"/>
        <v>A</v>
      </c>
      <c r="R246" s="6">
        <f t="shared" si="63"/>
        <v>131.05342422081156</v>
      </c>
      <c r="S246" s="6">
        <f t="shared" si="64"/>
        <v>10.484273937664925</v>
      </c>
      <c r="T246" s="6">
        <f t="shared" si="65"/>
        <v>262.10684844162313</v>
      </c>
      <c r="U246" s="6">
        <f t="shared" si="66"/>
        <v>65.526712110405782</v>
      </c>
      <c r="V246" s="6">
        <f t="shared" si="67"/>
        <v>327.63356055202894</v>
      </c>
      <c r="W246">
        <v>25</v>
      </c>
      <c r="X246" t="str">
        <f t="shared" si="68"/>
        <v>ALERT</v>
      </c>
      <c r="Y246" s="6">
        <f t="shared" si="69"/>
        <v>17</v>
      </c>
      <c r="Z246" s="6">
        <f t="shared" si="70"/>
        <v>68</v>
      </c>
    </row>
    <row r="247" spans="1:26" x14ac:dyDescent="0.3">
      <c r="A247" s="3" t="str">
        <f t="shared" si="54"/>
        <v>SKU246</v>
      </c>
      <c r="B247" s="3">
        <v>832</v>
      </c>
      <c r="C247" s="3">
        <f t="shared" si="56"/>
        <v>1081.6000000000001</v>
      </c>
      <c r="D247" s="3">
        <v>57.54</v>
      </c>
      <c r="E247" s="3">
        <v>10</v>
      </c>
      <c r="F247" s="3" t="str" cm="1">
        <f t="array" aca="1" ref="F247" ca="1">INDEX({"Electronics","Clothing","Food","Furniture"}, RANDBETWEEN(1,4))</f>
        <v>Furniture</v>
      </c>
      <c r="G247" s="3">
        <v>50</v>
      </c>
      <c r="H247" s="3">
        <v>2</v>
      </c>
      <c r="I247" s="3">
        <f t="shared" si="55"/>
        <v>47873.279999999999</v>
      </c>
      <c r="J247" s="3">
        <f t="shared" si="71"/>
        <v>23128113.539999992</v>
      </c>
      <c r="K247" s="4">
        <f t="shared" si="57"/>
        <v>0.79358050421691129</v>
      </c>
      <c r="M247" s="6">
        <f t="shared" si="58"/>
        <v>203.96078054371139</v>
      </c>
      <c r="N247" s="6">
        <f t="shared" si="59"/>
        <v>232.55106965997814</v>
      </c>
      <c r="O247" s="6">
        <f t="shared" si="60"/>
        <v>2.2794520547945205</v>
      </c>
      <c r="P247" s="6">
        <f t="shared" si="61"/>
        <v>22.794520547945204</v>
      </c>
      <c r="Q247" t="str">
        <f t="shared" si="62"/>
        <v>A</v>
      </c>
      <c r="R247" s="6">
        <f t="shared" si="63"/>
        <v>101.9803902718557</v>
      </c>
      <c r="S247" s="6">
        <f t="shared" si="64"/>
        <v>8.1584312217484563</v>
      </c>
      <c r="T247" s="6">
        <f t="shared" si="65"/>
        <v>203.96078054371139</v>
      </c>
      <c r="U247" s="6">
        <f t="shared" si="66"/>
        <v>50.990195135927848</v>
      </c>
      <c r="V247" s="6">
        <f t="shared" si="67"/>
        <v>254.95097567963924</v>
      </c>
      <c r="W247">
        <v>23</v>
      </c>
      <c r="X247" t="str">
        <f t="shared" si="68"/>
        <v>OK</v>
      </c>
      <c r="Y247" s="6">
        <f t="shared" si="69"/>
        <v>15</v>
      </c>
      <c r="Z247" s="6">
        <f t="shared" si="70"/>
        <v>30</v>
      </c>
    </row>
    <row r="248" spans="1:26" x14ac:dyDescent="0.3">
      <c r="A248" s="3" t="str">
        <f t="shared" si="54"/>
        <v>SKU247</v>
      </c>
      <c r="B248" s="3">
        <v>1034</v>
      </c>
      <c r="C248" s="3">
        <f t="shared" si="56"/>
        <v>1344.2</v>
      </c>
      <c r="D248" s="3">
        <v>46.26</v>
      </c>
      <c r="E248" s="3">
        <v>9</v>
      </c>
      <c r="F248" s="3" t="str" cm="1">
        <f t="array" aca="1" ref="F248" ca="1">INDEX({"Electronics","Clothing","Food","Furniture"}, RANDBETWEEN(1,4))</f>
        <v>Clothing</v>
      </c>
      <c r="G248" s="3">
        <v>50</v>
      </c>
      <c r="H248" s="3">
        <v>2</v>
      </c>
      <c r="I248" s="3">
        <f t="shared" si="55"/>
        <v>47832.84</v>
      </c>
      <c r="J248" s="3">
        <f t="shared" si="71"/>
        <v>23175946.379999992</v>
      </c>
      <c r="K248" s="4">
        <f t="shared" si="57"/>
        <v>0.79522176255904442</v>
      </c>
      <c r="M248" s="6">
        <f t="shared" si="58"/>
        <v>227.37634001804145</v>
      </c>
      <c r="N248" s="6">
        <f t="shared" si="59"/>
        <v>259.24891513755654</v>
      </c>
      <c r="O248" s="6">
        <f t="shared" si="60"/>
        <v>2.8328767123287673</v>
      </c>
      <c r="P248" s="6">
        <f t="shared" si="61"/>
        <v>25.495890410958907</v>
      </c>
      <c r="Q248" t="str">
        <f t="shared" si="62"/>
        <v>A</v>
      </c>
      <c r="R248" s="6">
        <f t="shared" si="63"/>
        <v>113.68817000902072</v>
      </c>
      <c r="S248" s="6">
        <f t="shared" si="64"/>
        <v>9.0950536007216591</v>
      </c>
      <c r="T248" s="6">
        <f t="shared" si="65"/>
        <v>227.37634001804147</v>
      </c>
      <c r="U248" s="6">
        <f t="shared" si="66"/>
        <v>56.844085004510362</v>
      </c>
      <c r="V248" s="6">
        <f t="shared" si="67"/>
        <v>284.22042502255181</v>
      </c>
      <c r="W248">
        <v>69</v>
      </c>
      <c r="X248" t="str">
        <f t="shared" si="68"/>
        <v>OK</v>
      </c>
      <c r="Y248" s="6">
        <f t="shared" si="69"/>
        <v>14</v>
      </c>
      <c r="Z248" s="6">
        <f t="shared" si="70"/>
        <v>42</v>
      </c>
    </row>
    <row r="249" spans="1:26" x14ac:dyDescent="0.3">
      <c r="A249" s="3" t="str">
        <f t="shared" si="54"/>
        <v>SKU248</v>
      </c>
      <c r="B249" s="3">
        <v>1453</v>
      </c>
      <c r="C249" s="3">
        <f t="shared" si="56"/>
        <v>1888.9</v>
      </c>
      <c r="D249" s="3">
        <v>32.82</v>
      </c>
      <c r="E249" s="3">
        <v>7</v>
      </c>
      <c r="F249" s="3" t="str" cm="1">
        <f t="array" aca="1" ref="F249" ca="1">INDEX({"Electronics","Clothing","Food","Furniture"}, RANDBETWEEN(1,4))</f>
        <v>Food</v>
      </c>
      <c r="G249" s="3">
        <v>50</v>
      </c>
      <c r="H249" s="3">
        <v>2</v>
      </c>
      <c r="I249" s="3">
        <f t="shared" si="55"/>
        <v>47687.46</v>
      </c>
      <c r="J249" s="3">
        <f t="shared" si="71"/>
        <v>23223633.839999992</v>
      </c>
      <c r="K249" s="4">
        <f t="shared" si="57"/>
        <v>0.79685803256810395</v>
      </c>
      <c r="M249" s="6">
        <f t="shared" si="58"/>
        <v>269.53663943887108</v>
      </c>
      <c r="N249" s="6">
        <f t="shared" si="59"/>
        <v>307.31905245200795</v>
      </c>
      <c r="O249" s="6">
        <f t="shared" si="60"/>
        <v>3.9808219178082194</v>
      </c>
      <c r="P249" s="6">
        <f t="shared" si="61"/>
        <v>27.865753424657534</v>
      </c>
      <c r="Q249" t="str">
        <f t="shared" si="62"/>
        <v>A</v>
      </c>
      <c r="R249" s="6">
        <f t="shared" si="63"/>
        <v>134.76831971943554</v>
      </c>
      <c r="S249" s="6">
        <f t="shared" si="64"/>
        <v>10.781465577554844</v>
      </c>
      <c r="T249" s="6">
        <f t="shared" si="65"/>
        <v>269.53663943887108</v>
      </c>
      <c r="U249" s="6">
        <f t="shared" si="66"/>
        <v>67.384159859717769</v>
      </c>
      <c r="V249" s="6">
        <f t="shared" si="67"/>
        <v>336.92079929858886</v>
      </c>
      <c r="W249">
        <v>31</v>
      </c>
      <c r="X249" t="str">
        <f t="shared" si="68"/>
        <v>OK</v>
      </c>
      <c r="Y249" s="6">
        <f t="shared" si="69"/>
        <v>12</v>
      </c>
      <c r="Z249" s="6">
        <f t="shared" si="70"/>
        <v>48</v>
      </c>
    </row>
    <row r="250" spans="1:26" x14ac:dyDescent="0.3">
      <c r="A250" s="3" t="str">
        <f t="shared" si="54"/>
        <v>SKU249</v>
      </c>
      <c r="B250" s="3">
        <v>821</v>
      </c>
      <c r="C250" s="3">
        <f t="shared" si="56"/>
        <v>1067.3</v>
      </c>
      <c r="D250" s="3">
        <v>58.05</v>
      </c>
      <c r="E250" s="3">
        <v>13</v>
      </c>
      <c r="F250" s="3" t="str" cm="1">
        <f t="array" aca="1" ref="F250" ca="1">INDEX({"Electronics","Clothing","Food","Furniture"}, RANDBETWEEN(1,4))</f>
        <v>Clothing</v>
      </c>
      <c r="G250" s="3">
        <v>50</v>
      </c>
      <c r="H250" s="3">
        <v>2</v>
      </c>
      <c r="I250" s="3">
        <f t="shared" si="55"/>
        <v>47659.049999999996</v>
      </c>
      <c r="J250" s="3">
        <f t="shared" si="71"/>
        <v>23271292.889999993</v>
      </c>
      <c r="K250" s="4">
        <f t="shared" si="57"/>
        <v>0.79849332776259041</v>
      </c>
      <c r="M250" s="6">
        <f t="shared" si="58"/>
        <v>202.60799589354809</v>
      </c>
      <c r="N250" s="6">
        <f t="shared" si="59"/>
        <v>231.00865784641059</v>
      </c>
      <c r="O250" s="6">
        <f t="shared" si="60"/>
        <v>2.2493150684931509</v>
      </c>
      <c r="P250" s="6">
        <f t="shared" si="61"/>
        <v>29.241095890410961</v>
      </c>
      <c r="Q250" t="str">
        <f t="shared" si="62"/>
        <v>A</v>
      </c>
      <c r="R250" s="6">
        <f t="shared" si="63"/>
        <v>101.30399794677405</v>
      </c>
      <c r="S250" s="6">
        <f t="shared" si="64"/>
        <v>8.1043198357419239</v>
      </c>
      <c r="T250" s="6">
        <f t="shared" si="65"/>
        <v>202.60799589354809</v>
      </c>
      <c r="U250" s="6">
        <f t="shared" si="66"/>
        <v>50.651998973387023</v>
      </c>
      <c r="V250" s="6">
        <f t="shared" si="67"/>
        <v>253.25999486693513</v>
      </c>
      <c r="W250">
        <v>19</v>
      </c>
      <c r="X250" t="str">
        <f t="shared" si="68"/>
        <v>ALERT</v>
      </c>
      <c r="Y250" s="6">
        <f t="shared" si="69"/>
        <v>18</v>
      </c>
      <c r="Z250" s="6">
        <f t="shared" si="70"/>
        <v>36</v>
      </c>
    </row>
    <row r="251" spans="1:26" x14ac:dyDescent="0.3">
      <c r="A251" s="3" t="str">
        <f t="shared" si="54"/>
        <v>SKU250</v>
      </c>
      <c r="B251" s="3">
        <v>1733</v>
      </c>
      <c r="C251" s="3">
        <f t="shared" si="56"/>
        <v>2252.9</v>
      </c>
      <c r="D251" s="3">
        <v>27.26</v>
      </c>
      <c r="E251" s="3">
        <v>26</v>
      </c>
      <c r="F251" s="3" t="str" cm="1">
        <f t="array" aca="1" ref="F251" ca="1">INDEX({"Electronics","Clothing","Food","Furniture"}, RANDBETWEEN(1,4))</f>
        <v>Furniture</v>
      </c>
      <c r="G251" s="3">
        <v>50</v>
      </c>
      <c r="H251" s="3">
        <v>2</v>
      </c>
      <c r="I251" s="3">
        <f t="shared" si="55"/>
        <v>47241.58</v>
      </c>
      <c r="J251" s="3">
        <f t="shared" si="71"/>
        <v>23318534.469999991</v>
      </c>
      <c r="K251" s="4">
        <f t="shared" si="57"/>
        <v>0.80011429856989658</v>
      </c>
      <c r="M251" s="6">
        <f t="shared" si="58"/>
        <v>294.3637205907005</v>
      </c>
      <c r="N251" s="6">
        <f t="shared" si="59"/>
        <v>335.62628025826581</v>
      </c>
      <c r="O251" s="6">
        <f t="shared" si="60"/>
        <v>4.7479452054794518</v>
      </c>
      <c r="P251" s="6">
        <f t="shared" si="61"/>
        <v>123.44657534246575</v>
      </c>
      <c r="Q251" t="str">
        <f t="shared" si="62"/>
        <v>B</v>
      </c>
      <c r="R251" s="6">
        <f t="shared" si="63"/>
        <v>147.18186029535025</v>
      </c>
      <c r="S251" s="6">
        <f t="shared" si="64"/>
        <v>11.77454882362802</v>
      </c>
      <c r="T251" s="6">
        <f t="shared" si="65"/>
        <v>294.3637205907005</v>
      </c>
      <c r="U251" s="6">
        <f t="shared" si="66"/>
        <v>73.590930147675124</v>
      </c>
      <c r="V251" s="6">
        <f t="shared" si="67"/>
        <v>367.95465073837562</v>
      </c>
      <c r="W251">
        <v>6</v>
      </c>
      <c r="X251" t="str">
        <f t="shared" si="68"/>
        <v>ALERT</v>
      </c>
      <c r="Y251" s="6">
        <f t="shared" si="69"/>
        <v>31</v>
      </c>
      <c r="Z251" s="6">
        <f t="shared" si="70"/>
        <v>155</v>
      </c>
    </row>
    <row r="252" spans="1:26" x14ac:dyDescent="0.3">
      <c r="A252" s="3" t="str">
        <f t="shared" si="54"/>
        <v>SKU251</v>
      </c>
      <c r="B252" s="3">
        <v>683</v>
      </c>
      <c r="C252" s="3">
        <f t="shared" si="56"/>
        <v>887.9</v>
      </c>
      <c r="D252" s="3">
        <v>69.010000000000005</v>
      </c>
      <c r="E252" s="3">
        <v>27</v>
      </c>
      <c r="F252" s="3" t="str" cm="1">
        <f t="array" aca="1" ref="F252" ca="1">INDEX({"Electronics","Clothing","Food","Furniture"}, RANDBETWEEN(1,4))</f>
        <v>Clothing</v>
      </c>
      <c r="G252" s="3">
        <v>50</v>
      </c>
      <c r="H252" s="3">
        <v>2</v>
      </c>
      <c r="I252" s="3">
        <f t="shared" si="55"/>
        <v>47133.83</v>
      </c>
      <c r="J252" s="3">
        <f t="shared" si="71"/>
        <v>23365668.29999999</v>
      </c>
      <c r="K252" s="4">
        <f t="shared" si="57"/>
        <v>0.80173157221879932</v>
      </c>
      <c r="M252" s="6">
        <f t="shared" si="58"/>
        <v>184.79718612576329</v>
      </c>
      <c r="N252" s="6">
        <f t="shared" si="59"/>
        <v>210.70121024806667</v>
      </c>
      <c r="O252" s="6">
        <f t="shared" si="60"/>
        <v>1.8712328767123287</v>
      </c>
      <c r="P252" s="6">
        <f t="shared" si="61"/>
        <v>50.523287671232879</v>
      </c>
      <c r="Q252" t="str">
        <f t="shared" si="62"/>
        <v>B</v>
      </c>
      <c r="R252" s="6">
        <f t="shared" si="63"/>
        <v>92.398593062881645</v>
      </c>
      <c r="S252" s="6">
        <f t="shared" si="64"/>
        <v>7.3918874450305312</v>
      </c>
      <c r="T252" s="6">
        <f t="shared" si="65"/>
        <v>184.79718612576329</v>
      </c>
      <c r="U252" s="6">
        <f t="shared" si="66"/>
        <v>46.199296531440822</v>
      </c>
      <c r="V252" s="6">
        <f t="shared" si="67"/>
        <v>230.99648265720413</v>
      </c>
      <c r="W252">
        <v>61</v>
      </c>
      <c r="X252" t="str">
        <f t="shared" si="68"/>
        <v>OK</v>
      </c>
      <c r="Y252" s="6">
        <f t="shared" si="69"/>
        <v>32</v>
      </c>
      <c r="Z252" s="6">
        <f t="shared" si="70"/>
        <v>64</v>
      </c>
    </row>
    <row r="253" spans="1:26" x14ac:dyDescent="0.3">
      <c r="A253" s="3" t="str">
        <f t="shared" si="54"/>
        <v>SKU252</v>
      </c>
      <c r="B253" s="3">
        <v>776</v>
      </c>
      <c r="C253" s="3">
        <f t="shared" si="56"/>
        <v>1008.8000000000001</v>
      </c>
      <c r="D253" s="3">
        <v>60.29</v>
      </c>
      <c r="E253" s="3">
        <v>19</v>
      </c>
      <c r="F253" s="3" t="str" cm="1">
        <f t="array" aca="1" ref="F253" ca="1">INDEX({"Electronics","Clothing","Food","Furniture"}, RANDBETWEEN(1,4))</f>
        <v>Clothing</v>
      </c>
      <c r="G253" s="3">
        <v>50</v>
      </c>
      <c r="H253" s="3">
        <v>2</v>
      </c>
      <c r="I253" s="3">
        <f t="shared" si="55"/>
        <v>46785.04</v>
      </c>
      <c r="J253" s="3">
        <f t="shared" si="71"/>
        <v>23412453.339999989</v>
      </c>
      <c r="K253" s="4">
        <f t="shared" si="57"/>
        <v>0.80333687805443499</v>
      </c>
      <c r="M253" s="6">
        <f t="shared" si="58"/>
        <v>196.97715603592209</v>
      </c>
      <c r="N253" s="6">
        <f t="shared" si="59"/>
        <v>224.58851261807672</v>
      </c>
      <c r="O253" s="6">
        <f t="shared" si="60"/>
        <v>2.1260273972602741</v>
      </c>
      <c r="P253" s="6">
        <f t="shared" si="61"/>
        <v>40.394520547945206</v>
      </c>
      <c r="Q253" t="str">
        <f t="shared" si="62"/>
        <v>B</v>
      </c>
      <c r="R253" s="6">
        <f t="shared" si="63"/>
        <v>98.488578017961046</v>
      </c>
      <c r="S253" s="6">
        <f t="shared" si="64"/>
        <v>7.8790862414368839</v>
      </c>
      <c r="T253" s="6">
        <f t="shared" si="65"/>
        <v>196.97715603592209</v>
      </c>
      <c r="U253" s="6">
        <f t="shared" si="66"/>
        <v>49.244289008980523</v>
      </c>
      <c r="V253" s="6">
        <f t="shared" si="67"/>
        <v>246.22144504490262</v>
      </c>
      <c r="W253">
        <v>87</v>
      </c>
      <c r="X253" t="str">
        <f t="shared" si="68"/>
        <v>OK</v>
      </c>
      <c r="Y253" s="6">
        <f t="shared" si="69"/>
        <v>24</v>
      </c>
      <c r="Z253" s="6">
        <f t="shared" si="70"/>
        <v>48</v>
      </c>
    </row>
    <row r="254" spans="1:26" x14ac:dyDescent="0.3">
      <c r="A254" s="3" t="str">
        <f t="shared" si="54"/>
        <v>SKU253</v>
      </c>
      <c r="B254" s="3">
        <v>1099</v>
      </c>
      <c r="C254" s="3">
        <f t="shared" si="56"/>
        <v>1428.7</v>
      </c>
      <c r="D254" s="3">
        <v>42.53</v>
      </c>
      <c r="E254" s="3">
        <v>24</v>
      </c>
      <c r="F254" s="3" t="str" cm="1">
        <f t="array" aca="1" ref="F254" ca="1">INDEX({"Electronics","Clothing","Food","Furniture"}, RANDBETWEEN(1,4))</f>
        <v>Clothing</v>
      </c>
      <c r="G254" s="3">
        <v>50</v>
      </c>
      <c r="H254" s="3">
        <v>2</v>
      </c>
      <c r="I254" s="3">
        <f t="shared" si="55"/>
        <v>46740.47</v>
      </c>
      <c r="J254" s="3">
        <f t="shared" si="71"/>
        <v>23459193.809999987</v>
      </c>
      <c r="K254" s="4">
        <f t="shared" si="57"/>
        <v>0.80494065458751818</v>
      </c>
      <c r="M254" s="6">
        <f t="shared" si="58"/>
        <v>234.41416339462086</v>
      </c>
      <c r="N254" s="6">
        <f t="shared" si="59"/>
        <v>267.27326839772059</v>
      </c>
      <c r="O254" s="6">
        <f t="shared" si="60"/>
        <v>3.010958904109589</v>
      </c>
      <c r="P254" s="6">
        <f t="shared" si="61"/>
        <v>72.263013698630132</v>
      </c>
      <c r="Q254" t="str">
        <f t="shared" si="62"/>
        <v>B</v>
      </c>
      <c r="R254" s="6">
        <f t="shared" si="63"/>
        <v>117.20708169731043</v>
      </c>
      <c r="S254" s="6">
        <f t="shared" si="64"/>
        <v>9.3765665357848338</v>
      </c>
      <c r="T254" s="6">
        <f t="shared" si="65"/>
        <v>234.41416339462086</v>
      </c>
      <c r="U254" s="6">
        <f t="shared" si="66"/>
        <v>58.603540848655214</v>
      </c>
      <c r="V254" s="6">
        <f t="shared" si="67"/>
        <v>293.01770424327606</v>
      </c>
      <c r="W254">
        <v>104</v>
      </c>
      <c r="X254" t="str">
        <f t="shared" si="68"/>
        <v>OK</v>
      </c>
      <c r="Y254" s="6">
        <f t="shared" si="69"/>
        <v>29</v>
      </c>
      <c r="Z254" s="6">
        <f t="shared" si="70"/>
        <v>87</v>
      </c>
    </row>
    <row r="255" spans="1:26" x14ac:dyDescent="0.3">
      <c r="A255" s="3" t="str">
        <f t="shared" si="54"/>
        <v>SKU254</v>
      </c>
      <c r="B255" s="3">
        <v>575</v>
      </c>
      <c r="C255" s="3">
        <f t="shared" si="56"/>
        <v>747.5</v>
      </c>
      <c r="D255" s="3">
        <v>81.25</v>
      </c>
      <c r="E255" s="3">
        <v>27</v>
      </c>
      <c r="F255" s="3" t="str" cm="1">
        <f t="array" aca="1" ref="F255" ca="1">INDEX({"Electronics","Clothing","Food","Furniture"}, RANDBETWEEN(1,4))</f>
        <v>Clothing</v>
      </c>
      <c r="G255" s="3">
        <v>50</v>
      </c>
      <c r="H255" s="3">
        <v>2</v>
      </c>
      <c r="I255" s="3">
        <f t="shared" si="55"/>
        <v>46718.75</v>
      </c>
      <c r="J255" s="3">
        <f t="shared" si="71"/>
        <v>23505912.559999987</v>
      </c>
      <c r="K255" s="4">
        <f t="shared" si="57"/>
        <v>0.80654368585581693</v>
      </c>
      <c r="M255" s="6">
        <f t="shared" si="58"/>
        <v>169.55824957813169</v>
      </c>
      <c r="N255" s="6">
        <f t="shared" si="59"/>
        <v>193.32614929181204</v>
      </c>
      <c r="O255" s="6">
        <f t="shared" si="60"/>
        <v>1.5753424657534247</v>
      </c>
      <c r="P255" s="6">
        <f t="shared" si="61"/>
        <v>42.534246575342465</v>
      </c>
      <c r="Q255" t="str">
        <f t="shared" si="62"/>
        <v>B</v>
      </c>
      <c r="R255" s="6">
        <f t="shared" si="63"/>
        <v>84.779124789065847</v>
      </c>
      <c r="S255" s="6">
        <f t="shared" si="64"/>
        <v>6.7823299831252681</v>
      </c>
      <c r="T255" s="6">
        <f t="shared" si="65"/>
        <v>169.55824957813169</v>
      </c>
      <c r="U255" s="6">
        <f t="shared" si="66"/>
        <v>42.389562394532923</v>
      </c>
      <c r="V255" s="6">
        <f t="shared" si="67"/>
        <v>211.94781197266462</v>
      </c>
      <c r="W255">
        <v>71</v>
      </c>
      <c r="X255" t="str">
        <f t="shared" si="68"/>
        <v>OK</v>
      </c>
      <c r="Y255" s="6">
        <f t="shared" si="69"/>
        <v>32</v>
      </c>
      <c r="Z255" s="6">
        <f t="shared" si="70"/>
        <v>64</v>
      </c>
    </row>
    <row r="256" spans="1:26" x14ac:dyDescent="0.3">
      <c r="A256" s="3" t="str">
        <f t="shared" si="54"/>
        <v>SKU255</v>
      </c>
      <c r="B256" s="3">
        <v>764</v>
      </c>
      <c r="C256" s="3">
        <f t="shared" si="56"/>
        <v>993.2</v>
      </c>
      <c r="D256" s="3">
        <v>61.15</v>
      </c>
      <c r="E256" s="3">
        <v>6</v>
      </c>
      <c r="F256" s="3" t="str" cm="1">
        <f t="array" aca="1" ref="F256" ca="1">INDEX({"Electronics","Clothing","Food","Furniture"}, RANDBETWEEN(1,4))</f>
        <v>Clothing</v>
      </c>
      <c r="G256" s="3">
        <v>50</v>
      </c>
      <c r="H256" s="3">
        <v>2</v>
      </c>
      <c r="I256" s="3">
        <f t="shared" si="55"/>
        <v>46718.6</v>
      </c>
      <c r="J256" s="3">
        <f t="shared" si="71"/>
        <v>23552631.159999989</v>
      </c>
      <c r="K256" s="4">
        <f t="shared" si="57"/>
        <v>0.80814671197725951</v>
      </c>
      <c r="M256" s="6">
        <f t="shared" si="58"/>
        <v>195.44820285692063</v>
      </c>
      <c r="N256" s="6">
        <f t="shared" si="59"/>
        <v>222.84523777725204</v>
      </c>
      <c r="O256" s="6">
        <f t="shared" si="60"/>
        <v>2.0931506849315067</v>
      </c>
      <c r="P256" s="6">
        <f t="shared" si="61"/>
        <v>12.55890410958904</v>
      </c>
      <c r="Q256" t="str">
        <f t="shared" si="62"/>
        <v>B</v>
      </c>
      <c r="R256" s="6">
        <f t="shared" si="63"/>
        <v>97.724101428460315</v>
      </c>
      <c r="S256" s="6">
        <f t="shared" si="64"/>
        <v>7.8179281142768255</v>
      </c>
      <c r="T256" s="6">
        <f t="shared" si="65"/>
        <v>195.44820285692063</v>
      </c>
      <c r="U256" s="6">
        <f t="shared" si="66"/>
        <v>48.862050714230158</v>
      </c>
      <c r="V256" s="6">
        <f t="shared" si="67"/>
        <v>244.31025357115078</v>
      </c>
      <c r="W256">
        <v>45</v>
      </c>
      <c r="X256" t="str">
        <f t="shared" si="68"/>
        <v>OK</v>
      </c>
      <c r="Y256" s="6">
        <f t="shared" si="69"/>
        <v>11</v>
      </c>
      <c r="Z256" s="6">
        <f t="shared" si="70"/>
        <v>22</v>
      </c>
    </row>
    <row r="257" spans="1:26" x14ac:dyDescent="0.3">
      <c r="A257" s="3" t="str">
        <f t="shared" si="54"/>
        <v>SKU256</v>
      </c>
      <c r="B257" s="3">
        <v>665</v>
      </c>
      <c r="C257" s="3">
        <f t="shared" si="56"/>
        <v>864.5</v>
      </c>
      <c r="D257" s="3">
        <v>70.2</v>
      </c>
      <c r="E257" s="3">
        <v>18</v>
      </c>
      <c r="F257" s="3" t="str" cm="1">
        <f t="array" aca="1" ref="F257" ca="1">INDEX({"Electronics","Clothing","Food","Furniture"}, RANDBETWEEN(1,4))</f>
        <v>Electronics</v>
      </c>
      <c r="G257" s="3">
        <v>50</v>
      </c>
      <c r="H257" s="3">
        <v>2</v>
      </c>
      <c r="I257" s="3">
        <f t="shared" si="55"/>
        <v>46683</v>
      </c>
      <c r="J257" s="3">
        <f t="shared" si="71"/>
        <v>23599314.159999989</v>
      </c>
      <c r="K257" s="4">
        <f t="shared" si="57"/>
        <v>0.80974851657815294</v>
      </c>
      <c r="M257" s="6">
        <f t="shared" si="58"/>
        <v>182.34582528810469</v>
      </c>
      <c r="N257" s="6">
        <f t="shared" si="59"/>
        <v>207.90622886291791</v>
      </c>
      <c r="O257" s="6">
        <f t="shared" si="60"/>
        <v>1.821917808219178</v>
      </c>
      <c r="P257" s="6">
        <f t="shared" si="61"/>
        <v>32.794520547945204</v>
      </c>
      <c r="Q257" t="str">
        <f t="shared" si="62"/>
        <v>B</v>
      </c>
      <c r="R257" s="6">
        <f t="shared" si="63"/>
        <v>91.172912644052346</v>
      </c>
      <c r="S257" s="6">
        <f t="shared" si="64"/>
        <v>7.2938330115241872</v>
      </c>
      <c r="T257" s="6">
        <f t="shared" si="65"/>
        <v>182.34582528810469</v>
      </c>
      <c r="U257" s="6">
        <f t="shared" si="66"/>
        <v>45.586456322026173</v>
      </c>
      <c r="V257" s="6">
        <f t="shared" si="67"/>
        <v>227.93228161013087</v>
      </c>
      <c r="W257">
        <v>58</v>
      </c>
      <c r="X257" t="str">
        <f t="shared" si="68"/>
        <v>OK</v>
      </c>
      <c r="Y257" s="6">
        <f t="shared" si="69"/>
        <v>23</v>
      </c>
      <c r="Z257" s="6">
        <f t="shared" si="70"/>
        <v>46</v>
      </c>
    </row>
    <row r="258" spans="1:26" x14ac:dyDescent="0.3">
      <c r="A258" s="3" t="str">
        <f t="shared" ref="A258:A321" si="72">"SKU" &amp; TEXT(ROW()-1, "000")</f>
        <v>SKU257</v>
      </c>
      <c r="B258" s="3">
        <v>1613</v>
      </c>
      <c r="C258" s="3">
        <f t="shared" si="56"/>
        <v>2096.9</v>
      </c>
      <c r="D258" s="3">
        <v>28.82</v>
      </c>
      <c r="E258" s="3">
        <v>3</v>
      </c>
      <c r="F258" s="3" t="str" cm="1">
        <f t="array" aca="1" ref="F258" ca="1">INDEX({"Electronics","Clothing","Food","Furniture"}, RANDBETWEEN(1,4))</f>
        <v>Electronics</v>
      </c>
      <c r="G258" s="3">
        <v>50</v>
      </c>
      <c r="H258" s="3">
        <v>2</v>
      </c>
      <c r="I258" s="3">
        <f t="shared" ref="I258:I321" si="73">B258*D258</f>
        <v>46486.66</v>
      </c>
      <c r="J258" s="3">
        <f t="shared" si="71"/>
        <v>23645800.819999989</v>
      </c>
      <c r="K258" s="4">
        <f t="shared" si="57"/>
        <v>0.81134358428734399</v>
      </c>
      <c r="M258" s="6">
        <f t="shared" si="58"/>
        <v>283.98943642325855</v>
      </c>
      <c r="N258" s="6">
        <f t="shared" si="59"/>
        <v>323.79777639755343</v>
      </c>
      <c r="O258" s="6">
        <f t="shared" si="60"/>
        <v>4.419178082191781</v>
      </c>
      <c r="P258" s="6">
        <f t="shared" si="61"/>
        <v>13.257534246575343</v>
      </c>
      <c r="Q258" t="str">
        <f t="shared" si="62"/>
        <v>B</v>
      </c>
      <c r="R258" s="6">
        <f t="shared" si="63"/>
        <v>141.99471821162928</v>
      </c>
      <c r="S258" s="6">
        <f t="shared" si="64"/>
        <v>11.35957745693034</v>
      </c>
      <c r="T258" s="6">
        <f t="shared" si="65"/>
        <v>283.9894364232585</v>
      </c>
      <c r="U258" s="6">
        <f t="shared" si="66"/>
        <v>70.997359105814638</v>
      </c>
      <c r="V258" s="6">
        <f t="shared" si="67"/>
        <v>354.98679552907311</v>
      </c>
      <c r="W258">
        <v>47</v>
      </c>
      <c r="X258" t="str">
        <f t="shared" si="68"/>
        <v>OK</v>
      </c>
      <c r="Y258" s="6">
        <f t="shared" si="69"/>
        <v>8</v>
      </c>
      <c r="Z258" s="6">
        <f t="shared" si="70"/>
        <v>32</v>
      </c>
    </row>
    <row r="259" spans="1:26" x14ac:dyDescent="0.3">
      <c r="A259" s="3" t="str">
        <f t="shared" si="72"/>
        <v>SKU258</v>
      </c>
      <c r="B259" s="3">
        <v>488</v>
      </c>
      <c r="C259" s="3">
        <f t="shared" ref="C259:C322" si="74">B259 * 1.3</f>
        <v>634.4</v>
      </c>
      <c r="D259" s="3">
        <v>95.05</v>
      </c>
      <c r="E259" s="3">
        <v>12</v>
      </c>
      <c r="F259" s="3" t="str" cm="1">
        <f t="array" aca="1" ref="F259" ca="1">INDEX({"Electronics","Clothing","Food","Furniture"}, RANDBETWEEN(1,4))</f>
        <v>Electronics</v>
      </c>
      <c r="G259" s="3">
        <v>50</v>
      </c>
      <c r="H259" s="3">
        <v>2</v>
      </c>
      <c r="I259" s="3">
        <f t="shared" si="73"/>
        <v>46384.4</v>
      </c>
      <c r="J259" s="3">
        <f t="shared" si="71"/>
        <v>23692185.219999988</v>
      </c>
      <c r="K259" s="4">
        <f t="shared" ref="K259:K322" si="75">J259/$L$2</f>
        <v>0.81293514321307037</v>
      </c>
      <c r="M259" s="6">
        <f t="shared" ref="M259:M322" si="76">SQRT((2 * B259 * G259) / H259)</f>
        <v>156.20499351813308</v>
      </c>
      <c r="N259" s="6">
        <f t="shared" ref="N259:N322" si="77">SQRT((2 * C259 * G259) / H259)</f>
        <v>178.10109488714548</v>
      </c>
      <c r="O259" s="6">
        <f t="shared" ref="O259:O322" si="78">B259 / 365</f>
        <v>1.3369863013698631</v>
      </c>
      <c r="P259" s="6">
        <f t="shared" ref="P259:P322" si="79">E259*O259</f>
        <v>16.043835616438358</v>
      </c>
      <c r="Q259" t="str">
        <f t="shared" ref="Q259:Q322" si="80">IF(K259 &lt;= 0.8, "A", IF(K259 &lt;= 0.95, "B", "C"))</f>
        <v>B</v>
      </c>
      <c r="R259" s="6">
        <f t="shared" ref="R259:R322" si="81">M259/2</f>
        <v>78.10249675906654</v>
      </c>
      <c r="S259" s="6">
        <f t="shared" ref="S259:S322" si="82">B259/R259</f>
        <v>6.2481997407253242</v>
      </c>
      <c r="T259" s="6">
        <f t="shared" ref="T259:T322" si="83">(B259/M259)*G259</f>
        <v>156.20499351813311</v>
      </c>
      <c r="U259" s="6">
        <f t="shared" ref="U259:U322" si="84">R259/H259</f>
        <v>39.05124837953327</v>
      </c>
      <c r="V259" s="6">
        <f t="shared" ref="V259:V322" si="85">T259+U259</f>
        <v>195.25624189766637</v>
      </c>
      <c r="W259">
        <v>24</v>
      </c>
      <c r="X259" t="str">
        <f t="shared" ref="X259:X322" si="86">IF(W259 &lt; P259, "ALERT", "OK")</f>
        <v>OK</v>
      </c>
      <c r="Y259" s="6">
        <f t="shared" ref="Y259:Y322" si="87">E259 + 5</f>
        <v>17</v>
      </c>
      <c r="Z259" s="6">
        <f t="shared" ref="Z259:Z322" si="88">ROUND(Y259, 0) * ROUND(O259, 0)</f>
        <v>17</v>
      </c>
    </row>
    <row r="260" spans="1:26" x14ac:dyDescent="0.3">
      <c r="A260" s="3" t="str">
        <f t="shared" si="72"/>
        <v>SKU259</v>
      </c>
      <c r="B260" s="3">
        <v>669</v>
      </c>
      <c r="C260" s="3">
        <f t="shared" si="74"/>
        <v>869.7</v>
      </c>
      <c r="D260" s="3">
        <v>68.36</v>
      </c>
      <c r="E260" s="3">
        <v>19</v>
      </c>
      <c r="F260" s="3" t="str" cm="1">
        <f t="array" aca="1" ref="F260" ca="1">INDEX({"Electronics","Clothing","Food","Furniture"}, RANDBETWEEN(1,4))</f>
        <v>Electronics</v>
      </c>
      <c r="G260" s="3">
        <v>50</v>
      </c>
      <c r="H260" s="3">
        <v>2</v>
      </c>
      <c r="I260" s="3">
        <f t="shared" si="73"/>
        <v>45732.84</v>
      </c>
      <c r="J260" s="3">
        <f t="shared" ref="J260:J323" si="89">SUM(J259+I260)</f>
        <v>23737918.059999987</v>
      </c>
      <c r="K260" s="4">
        <f t="shared" si="75"/>
        <v>0.81450434556775886</v>
      </c>
      <c r="M260" s="6">
        <f t="shared" si="76"/>
        <v>182.89341158171882</v>
      </c>
      <c r="N260" s="6">
        <f t="shared" si="77"/>
        <v>208.53057329801786</v>
      </c>
      <c r="O260" s="6">
        <f t="shared" si="78"/>
        <v>1.832876712328767</v>
      </c>
      <c r="P260" s="6">
        <f t="shared" si="79"/>
        <v>34.824657534246576</v>
      </c>
      <c r="Q260" t="str">
        <f t="shared" si="80"/>
        <v>B</v>
      </c>
      <c r="R260" s="6">
        <f t="shared" si="81"/>
        <v>91.446705790859411</v>
      </c>
      <c r="S260" s="6">
        <f t="shared" si="82"/>
        <v>7.3157364632687525</v>
      </c>
      <c r="T260" s="6">
        <f t="shared" si="83"/>
        <v>182.89341158171882</v>
      </c>
      <c r="U260" s="6">
        <f t="shared" si="84"/>
        <v>45.723352895429706</v>
      </c>
      <c r="V260" s="6">
        <f t="shared" si="85"/>
        <v>228.61676447714854</v>
      </c>
      <c r="W260">
        <v>41</v>
      </c>
      <c r="X260" t="str">
        <f t="shared" si="86"/>
        <v>OK</v>
      </c>
      <c r="Y260" s="6">
        <f t="shared" si="87"/>
        <v>24</v>
      </c>
      <c r="Z260" s="6">
        <f t="shared" si="88"/>
        <v>48</v>
      </c>
    </row>
    <row r="261" spans="1:26" x14ac:dyDescent="0.3">
      <c r="A261" s="3" t="str">
        <f t="shared" si="72"/>
        <v>SKU260</v>
      </c>
      <c r="B261" s="3">
        <v>1041</v>
      </c>
      <c r="C261" s="3">
        <f t="shared" si="74"/>
        <v>1353.3</v>
      </c>
      <c r="D261" s="3">
        <v>43.89</v>
      </c>
      <c r="E261" s="3">
        <v>23</v>
      </c>
      <c r="F261" s="3" t="str" cm="1">
        <f t="array" aca="1" ref="F261" ca="1">INDEX({"Electronics","Clothing","Food","Furniture"}, RANDBETWEEN(1,4))</f>
        <v>Clothing</v>
      </c>
      <c r="G261" s="3">
        <v>50</v>
      </c>
      <c r="H261" s="3">
        <v>2</v>
      </c>
      <c r="I261" s="3">
        <f t="shared" si="73"/>
        <v>45689.49</v>
      </c>
      <c r="J261" s="3">
        <f t="shared" si="89"/>
        <v>23783607.549999986</v>
      </c>
      <c r="K261" s="4">
        <f t="shared" si="75"/>
        <v>0.81607206048099223</v>
      </c>
      <c r="M261" s="6">
        <f t="shared" si="76"/>
        <v>228.14469093099669</v>
      </c>
      <c r="N261" s="6">
        <f t="shared" si="77"/>
        <v>260.1249699663606</v>
      </c>
      <c r="O261" s="6">
        <f t="shared" si="78"/>
        <v>2.8520547945205479</v>
      </c>
      <c r="P261" s="6">
        <f t="shared" si="79"/>
        <v>65.597260273972609</v>
      </c>
      <c r="Q261" t="str">
        <f t="shared" si="80"/>
        <v>B</v>
      </c>
      <c r="R261" s="6">
        <f t="shared" si="81"/>
        <v>114.07234546549834</v>
      </c>
      <c r="S261" s="6">
        <f t="shared" si="82"/>
        <v>9.125787637239867</v>
      </c>
      <c r="T261" s="6">
        <f t="shared" si="83"/>
        <v>228.14469093099666</v>
      </c>
      <c r="U261" s="6">
        <f t="shared" si="84"/>
        <v>57.036172732749172</v>
      </c>
      <c r="V261" s="6">
        <f t="shared" si="85"/>
        <v>285.18086366374581</v>
      </c>
      <c r="W261">
        <v>106</v>
      </c>
      <c r="X261" t="str">
        <f t="shared" si="86"/>
        <v>OK</v>
      </c>
      <c r="Y261" s="6">
        <f t="shared" si="87"/>
        <v>28</v>
      </c>
      <c r="Z261" s="6">
        <f t="shared" si="88"/>
        <v>84</v>
      </c>
    </row>
    <row r="262" spans="1:26" x14ac:dyDescent="0.3">
      <c r="A262" s="3" t="str">
        <f t="shared" si="72"/>
        <v>SKU261</v>
      </c>
      <c r="B262" s="3">
        <v>722</v>
      </c>
      <c r="C262" s="3">
        <f t="shared" si="74"/>
        <v>938.6</v>
      </c>
      <c r="D262" s="3">
        <v>63.14</v>
      </c>
      <c r="E262" s="3">
        <v>18</v>
      </c>
      <c r="F262" s="3" t="str" cm="1">
        <f t="array" aca="1" ref="F262" ca="1">INDEX({"Electronics","Clothing","Food","Furniture"}, RANDBETWEEN(1,4))</f>
        <v>Clothing</v>
      </c>
      <c r="G262" s="3">
        <v>50</v>
      </c>
      <c r="H262" s="3">
        <v>2</v>
      </c>
      <c r="I262" s="3">
        <f t="shared" si="73"/>
        <v>45587.08</v>
      </c>
      <c r="J262" s="3">
        <f t="shared" si="89"/>
        <v>23829194.629999984</v>
      </c>
      <c r="K262" s="4">
        <f t="shared" si="75"/>
        <v>0.81763626146390445</v>
      </c>
      <c r="M262" s="6">
        <f t="shared" si="76"/>
        <v>190</v>
      </c>
      <c r="N262" s="6">
        <f t="shared" si="77"/>
        <v>216.6333307688362</v>
      </c>
      <c r="O262" s="6">
        <f t="shared" si="78"/>
        <v>1.978082191780822</v>
      </c>
      <c r="P262" s="6">
        <f t="shared" si="79"/>
        <v>35.605479452054794</v>
      </c>
      <c r="Q262" t="str">
        <f t="shared" si="80"/>
        <v>B</v>
      </c>
      <c r="R262" s="6">
        <f t="shared" si="81"/>
        <v>95</v>
      </c>
      <c r="S262" s="6">
        <f t="shared" si="82"/>
        <v>7.6</v>
      </c>
      <c r="T262" s="6">
        <f t="shared" si="83"/>
        <v>190</v>
      </c>
      <c r="U262" s="6">
        <f t="shared" si="84"/>
        <v>47.5</v>
      </c>
      <c r="V262" s="6">
        <f t="shared" si="85"/>
        <v>237.5</v>
      </c>
      <c r="W262">
        <v>39</v>
      </c>
      <c r="X262" t="str">
        <f t="shared" si="86"/>
        <v>OK</v>
      </c>
      <c r="Y262" s="6">
        <f t="shared" si="87"/>
        <v>23</v>
      </c>
      <c r="Z262" s="6">
        <f t="shared" si="88"/>
        <v>46</v>
      </c>
    </row>
    <row r="263" spans="1:26" x14ac:dyDescent="0.3">
      <c r="A263" s="3" t="str">
        <f t="shared" si="72"/>
        <v>SKU262</v>
      </c>
      <c r="B263" s="3">
        <v>1022</v>
      </c>
      <c r="C263" s="3">
        <f t="shared" si="74"/>
        <v>1328.6000000000001</v>
      </c>
      <c r="D263" s="3">
        <v>44.47</v>
      </c>
      <c r="E263" s="3">
        <v>16</v>
      </c>
      <c r="F263" s="3" t="str" cm="1">
        <f t="array" aca="1" ref="F263" ca="1">INDEX({"Electronics","Clothing","Food","Furniture"}, RANDBETWEEN(1,4))</f>
        <v>Clothing</v>
      </c>
      <c r="G263" s="3">
        <v>50</v>
      </c>
      <c r="H263" s="3">
        <v>2</v>
      </c>
      <c r="I263" s="3">
        <f t="shared" si="73"/>
        <v>45448.34</v>
      </c>
      <c r="J263" s="3">
        <f t="shared" si="89"/>
        <v>23874642.969999984</v>
      </c>
      <c r="K263" s="4">
        <f t="shared" si="75"/>
        <v>0.81919570194791302</v>
      </c>
      <c r="M263" s="6">
        <f t="shared" si="76"/>
        <v>226.05309110914629</v>
      </c>
      <c r="N263" s="6">
        <f t="shared" si="77"/>
        <v>257.74017925034508</v>
      </c>
      <c r="O263" s="6">
        <f t="shared" si="78"/>
        <v>2.8</v>
      </c>
      <c r="P263" s="6">
        <f t="shared" si="79"/>
        <v>44.8</v>
      </c>
      <c r="Q263" t="str">
        <f t="shared" si="80"/>
        <v>B</v>
      </c>
      <c r="R263" s="6">
        <f t="shared" si="81"/>
        <v>113.02654555457315</v>
      </c>
      <c r="S263" s="6">
        <f t="shared" si="82"/>
        <v>9.0421236443658533</v>
      </c>
      <c r="T263" s="6">
        <f t="shared" si="83"/>
        <v>226.05309110914632</v>
      </c>
      <c r="U263" s="6">
        <f t="shared" si="84"/>
        <v>56.513272777286574</v>
      </c>
      <c r="V263" s="6">
        <f t="shared" si="85"/>
        <v>282.5663638864329</v>
      </c>
      <c r="W263">
        <v>67</v>
      </c>
      <c r="X263" t="str">
        <f t="shared" si="86"/>
        <v>OK</v>
      </c>
      <c r="Y263" s="6">
        <f t="shared" si="87"/>
        <v>21</v>
      </c>
      <c r="Z263" s="6">
        <f t="shared" si="88"/>
        <v>63</v>
      </c>
    </row>
    <row r="264" spans="1:26" x14ac:dyDescent="0.3">
      <c r="A264" s="3" t="str">
        <f t="shared" si="72"/>
        <v>SKU263</v>
      </c>
      <c r="B264" s="3">
        <v>1102</v>
      </c>
      <c r="C264" s="3">
        <f t="shared" si="74"/>
        <v>1432.6000000000001</v>
      </c>
      <c r="D264" s="3">
        <v>41.22</v>
      </c>
      <c r="E264" s="3">
        <v>9</v>
      </c>
      <c r="F264" s="3" t="str" cm="1">
        <f t="array" aca="1" ref="F264" ca="1">INDEX({"Electronics","Clothing","Food","Furniture"}, RANDBETWEEN(1,4))</f>
        <v>Electronics</v>
      </c>
      <c r="G264" s="3">
        <v>50</v>
      </c>
      <c r="H264" s="3">
        <v>2</v>
      </c>
      <c r="I264" s="3">
        <f t="shared" si="73"/>
        <v>45424.44</v>
      </c>
      <c r="J264" s="3">
        <f t="shared" si="89"/>
        <v>23920067.409999985</v>
      </c>
      <c r="K264" s="4">
        <f t="shared" si="75"/>
        <v>0.82075432236615975</v>
      </c>
      <c r="M264" s="6">
        <f t="shared" si="76"/>
        <v>234.73389188611006</v>
      </c>
      <c r="N264" s="6">
        <f t="shared" si="77"/>
        <v>267.63781496642059</v>
      </c>
      <c r="O264" s="6">
        <f t="shared" si="78"/>
        <v>3.0191780821917806</v>
      </c>
      <c r="P264" s="6">
        <f t="shared" si="79"/>
        <v>27.172602739726024</v>
      </c>
      <c r="Q264" t="str">
        <f t="shared" si="80"/>
        <v>B</v>
      </c>
      <c r="R264" s="6">
        <f t="shared" si="81"/>
        <v>117.36694594305503</v>
      </c>
      <c r="S264" s="6">
        <f t="shared" si="82"/>
        <v>9.389355675444401</v>
      </c>
      <c r="T264" s="6">
        <f t="shared" si="83"/>
        <v>234.73389188611003</v>
      </c>
      <c r="U264" s="6">
        <f t="shared" si="84"/>
        <v>58.683472971527515</v>
      </c>
      <c r="V264" s="6">
        <f t="shared" si="85"/>
        <v>293.41736485763755</v>
      </c>
      <c r="W264">
        <v>11</v>
      </c>
      <c r="X264" t="str">
        <f t="shared" si="86"/>
        <v>ALERT</v>
      </c>
      <c r="Y264" s="6">
        <f t="shared" si="87"/>
        <v>14</v>
      </c>
      <c r="Z264" s="6">
        <f t="shared" si="88"/>
        <v>42</v>
      </c>
    </row>
    <row r="265" spans="1:26" x14ac:dyDescent="0.3">
      <c r="A265" s="3" t="str">
        <f t="shared" si="72"/>
        <v>SKU264</v>
      </c>
      <c r="B265" s="3">
        <v>1172</v>
      </c>
      <c r="C265" s="3">
        <f t="shared" si="74"/>
        <v>1523.6000000000001</v>
      </c>
      <c r="D265" s="3">
        <v>38.75</v>
      </c>
      <c r="E265" s="3">
        <v>24</v>
      </c>
      <c r="F265" s="3" t="str" cm="1">
        <f t="array" aca="1" ref="F265" ca="1">INDEX({"Electronics","Clothing","Food","Furniture"}, RANDBETWEEN(1,4))</f>
        <v>Electronics</v>
      </c>
      <c r="G265" s="3">
        <v>50</v>
      </c>
      <c r="H265" s="3">
        <v>2</v>
      </c>
      <c r="I265" s="3">
        <f t="shared" si="73"/>
        <v>45415</v>
      </c>
      <c r="J265" s="3">
        <f t="shared" si="89"/>
        <v>23965482.409999985</v>
      </c>
      <c r="K265" s="4">
        <f t="shared" si="75"/>
        <v>0.8223126188755866</v>
      </c>
      <c r="M265" s="6">
        <f t="shared" si="76"/>
        <v>242.0743687382041</v>
      </c>
      <c r="N265" s="6">
        <f t="shared" si="77"/>
        <v>276.00724628168734</v>
      </c>
      <c r="O265" s="6">
        <f t="shared" si="78"/>
        <v>3.2109589041095892</v>
      </c>
      <c r="P265" s="6">
        <f t="shared" si="79"/>
        <v>77.063013698630144</v>
      </c>
      <c r="Q265" t="str">
        <f t="shared" si="80"/>
        <v>B</v>
      </c>
      <c r="R265" s="6">
        <f t="shared" si="81"/>
        <v>121.03718436910205</v>
      </c>
      <c r="S265" s="6">
        <f t="shared" si="82"/>
        <v>9.6829747495281637</v>
      </c>
      <c r="T265" s="6">
        <f t="shared" si="83"/>
        <v>242.0743687382041</v>
      </c>
      <c r="U265" s="6">
        <f t="shared" si="84"/>
        <v>60.518592184551025</v>
      </c>
      <c r="V265" s="6">
        <f t="shared" si="85"/>
        <v>302.59296092275514</v>
      </c>
      <c r="W265">
        <v>24</v>
      </c>
      <c r="X265" t="str">
        <f t="shared" si="86"/>
        <v>ALERT</v>
      </c>
      <c r="Y265" s="6">
        <f t="shared" si="87"/>
        <v>29</v>
      </c>
      <c r="Z265" s="6">
        <f t="shared" si="88"/>
        <v>87</v>
      </c>
    </row>
    <row r="266" spans="1:26" x14ac:dyDescent="0.3">
      <c r="A266" s="3" t="str">
        <f t="shared" si="72"/>
        <v>SKU265</v>
      </c>
      <c r="B266" s="3">
        <v>1278</v>
      </c>
      <c r="C266" s="3">
        <f t="shared" si="74"/>
        <v>1661.4</v>
      </c>
      <c r="D266" s="3">
        <v>35.51</v>
      </c>
      <c r="E266" s="3">
        <v>10</v>
      </c>
      <c r="F266" s="3" t="str" cm="1">
        <f t="array" aca="1" ref="F266" ca="1">INDEX({"Electronics","Clothing","Food","Furniture"}, RANDBETWEEN(1,4))</f>
        <v>Food</v>
      </c>
      <c r="G266" s="3">
        <v>50</v>
      </c>
      <c r="H266" s="3">
        <v>2</v>
      </c>
      <c r="I266" s="3">
        <f t="shared" si="73"/>
        <v>45381.78</v>
      </c>
      <c r="J266" s="3">
        <f t="shared" si="89"/>
        <v>24010864.189999986</v>
      </c>
      <c r="K266" s="4">
        <f t="shared" si="75"/>
        <v>0.82386977552791696</v>
      </c>
      <c r="M266" s="6">
        <f t="shared" si="76"/>
        <v>252.78449319529076</v>
      </c>
      <c r="N266" s="6">
        <f t="shared" si="77"/>
        <v>288.21866698741081</v>
      </c>
      <c r="O266" s="6">
        <f t="shared" si="78"/>
        <v>3.5013698630136987</v>
      </c>
      <c r="P266" s="6">
        <f t="shared" si="79"/>
        <v>35.013698630136986</v>
      </c>
      <c r="Q266" t="str">
        <f t="shared" si="80"/>
        <v>B</v>
      </c>
      <c r="R266" s="6">
        <f t="shared" si="81"/>
        <v>126.39224659764538</v>
      </c>
      <c r="S266" s="6">
        <f t="shared" si="82"/>
        <v>10.111379727811631</v>
      </c>
      <c r="T266" s="6">
        <f t="shared" si="83"/>
        <v>252.78449319529076</v>
      </c>
      <c r="U266" s="6">
        <f t="shared" si="84"/>
        <v>63.196123298822691</v>
      </c>
      <c r="V266" s="6">
        <f t="shared" si="85"/>
        <v>315.98061649411346</v>
      </c>
      <c r="W266">
        <v>77</v>
      </c>
      <c r="X266" t="str">
        <f t="shared" si="86"/>
        <v>OK</v>
      </c>
      <c r="Y266" s="6">
        <f t="shared" si="87"/>
        <v>15</v>
      </c>
      <c r="Z266" s="6">
        <f t="shared" si="88"/>
        <v>60</v>
      </c>
    </row>
    <row r="267" spans="1:26" x14ac:dyDescent="0.3">
      <c r="A267" s="3" t="str">
        <f t="shared" si="72"/>
        <v>SKU266</v>
      </c>
      <c r="B267" s="3">
        <v>699</v>
      </c>
      <c r="C267" s="3">
        <f t="shared" si="74"/>
        <v>908.7</v>
      </c>
      <c r="D267" s="3">
        <v>64.63</v>
      </c>
      <c r="E267" s="3">
        <v>27</v>
      </c>
      <c r="F267" s="3" t="str" cm="1">
        <f t="array" aca="1" ref="F267" ca="1">INDEX({"Electronics","Clothing","Food","Furniture"}, RANDBETWEEN(1,4))</f>
        <v>Furniture</v>
      </c>
      <c r="G267" s="3">
        <v>50</v>
      </c>
      <c r="H267" s="3">
        <v>2</v>
      </c>
      <c r="I267" s="3">
        <f t="shared" si="73"/>
        <v>45176.369999999995</v>
      </c>
      <c r="J267" s="3">
        <f t="shared" si="89"/>
        <v>24056040.559999987</v>
      </c>
      <c r="K267" s="4">
        <f t="shared" si="75"/>
        <v>0.82541988407530387</v>
      </c>
      <c r="M267" s="6">
        <f t="shared" si="76"/>
        <v>186.94919095839919</v>
      </c>
      <c r="N267" s="6">
        <f t="shared" si="77"/>
        <v>213.15487327293269</v>
      </c>
      <c r="O267" s="6">
        <f t="shared" si="78"/>
        <v>1.9150684931506849</v>
      </c>
      <c r="P267" s="6">
        <f t="shared" si="79"/>
        <v>51.706849315068496</v>
      </c>
      <c r="Q267" t="str">
        <f t="shared" si="80"/>
        <v>B</v>
      </c>
      <c r="R267" s="6">
        <f t="shared" si="81"/>
        <v>93.474595479199593</v>
      </c>
      <c r="S267" s="6">
        <f t="shared" si="82"/>
        <v>7.4779676383359668</v>
      </c>
      <c r="T267" s="6">
        <f t="shared" si="83"/>
        <v>186.94919095839916</v>
      </c>
      <c r="U267" s="6">
        <f t="shared" si="84"/>
        <v>46.737297739599796</v>
      </c>
      <c r="V267" s="6">
        <f t="shared" si="85"/>
        <v>233.68648869799895</v>
      </c>
      <c r="W267">
        <v>55</v>
      </c>
      <c r="X267" t="str">
        <f t="shared" si="86"/>
        <v>OK</v>
      </c>
      <c r="Y267" s="6">
        <f t="shared" si="87"/>
        <v>32</v>
      </c>
      <c r="Z267" s="6">
        <f t="shared" si="88"/>
        <v>64</v>
      </c>
    </row>
    <row r="268" spans="1:26" x14ac:dyDescent="0.3">
      <c r="A268" s="3" t="str">
        <f t="shared" si="72"/>
        <v>SKU267</v>
      </c>
      <c r="B268" s="3">
        <v>1579</v>
      </c>
      <c r="C268" s="3">
        <f t="shared" si="74"/>
        <v>2052.7000000000003</v>
      </c>
      <c r="D268" s="3">
        <v>28.61</v>
      </c>
      <c r="E268" s="3">
        <v>14</v>
      </c>
      <c r="F268" s="3" t="str" cm="1">
        <f t="array" aca="1" ref="F268" ca="1">INDEX({"Electronics","Clothing","Food","Furniture"}, RANDBETWEEN(1,4))</f>
        <v>Furniture</v>
      </c>
      <c r="G268" s="3">
        <v>50</v>
      </c>
      <c r="H268" s="3">
        <v>2</v>
      </c>
      <c r="I268" s="3">
        <f t="shared" si="73"/>
        <v>45175.19</v>
      </c>
      <c r="J268" s="3">
        <f t="shared" si="89"/>
        <v>24101215.749999989</v>
      </c>
      <c r="K268" s="4">
        <f t="shared" si="75"/>
        <v>0.82696995213408842</v>
      </c>
      <c r="M268" s="6">
        <f t="shared" si="76"/>
        <v>280.98042636454232</v>
      </c>
      <c r="N268" s="6">
        <f t="shared" si="77"/>
        <v>320.36697707472911</v>
      </c>
      <c r="O268" s="6">
        <f t="shared" si="78"/>
        <v>4.3260273972602743</v>
      </c>
      <c r="P268" s="6">
        <f t="shared" si="79"/>
        <v>60.564383561643837</v>
      </c>
      <c r="Q268" t="str">
        <f t="shared" si="80"/>
        <v>B</v>
      </c>
      <c r="R268" s="6">
        <f t="shared" si="81"/>
        <v>140.49021318227116</v>
      </c>
      <c r="S268" s="6">
        <f t="shared" si="82"/>
        <v>11.239217054581694</v>
      </c>
      <c r="T268" s="6">
        <f t="shared" si="83"/>
        <v>280.98042636454232</v>
      </c>
      <c r="U268" s="6">
        <f t="shared" si="84"/>
        <v>70.245106591135581</v>
      </c>
      <c r="V268" s="6">
        <f t="shared" si="85"/>
        <v>351.22553295567792</v>
      </c>
      <c r="W268">
        <v>41</v>
      </c>
      <c r="X268" t="str">
        <f t="shared" si="86"/>
        <v>ALERT</v>
      </c>
      <c r="Y268" s="6">
        <f t="shared" si="87"/>
        <v>19</v>
      </c>
      <c r="Z268" s="6">
        <f t="shared" si="88"/>
        <v>76</v>
      </c>
    </row>
    <row r="269" spans="1:26" x14ac:dyDescent="0.3">
      <c r="A269" s="3" t="str">
        <f t="shared" si="72"/>
        <v>SKU268</v>
      </c>
      <c r="B269" s="3">
        <v>552</v>
      </c>
      <c r="C269" s="3">
        <f t="shared" si="74"/>
        <v>717.6</v>
      </c>
      <c r="D269" s="3">
        <v>81.38</v>
      </c>
      <c r="E269" s="3">
        <v>12</v>
      </c>
      <c r="F269" s="3" t="str" cm="1">
        <f t="array" aca="1" ref="F269" ca="1">INDEX({"Electronics","Clothing","Food","Furniture"}, RANDBETWEEN(1,4))</f>
        <v>Food</v>
      </c>
      <c r="G269" s="3">
        <v>50</v>
      </c>
      <c r="H269" s="3">
        <v>2</v>
      </c>
      <c r="I269" s="3">
        <f t="shared" si="73"/>
        <v>44921.759999999995</v>
      </c>
      <c r="J269" s="3">
        <f t="shared" si="89"/>
        <v>24146137.50999999</v>
      </c>
      <c r="K269" s="4">
        <f t="shared" si="75"/>
        <v>0.82851132440768338</v>
      </c>
      <c r="M269" s="6">
        <f t="shared" si="76"/>
        <v>166.13247725836149</v>
      </c>
      <c r="N269" s="6">
        <f t="shared" si="77"/>
        <v>189.4201678808252</v>
      </c>
      <c r="O269" s="6">
        <f t="shared" si="78"/>
        <v>1.5123287671232877</v>
      </c>
      <c r="P269" s="6">
        <f t="shared" si="79"/>
        <v>18.147945205479452</v>
      </c>
      <c r="Q269" t="str">
        <f t="shared" si="80"/>
        <v>B</v>
      </c>
      <c r="R269" s="6">
        <f t="shared" si="81"/>
        <v>83.066238629180745</v>
      </c>
      <c r="S269" s="6">
        <f t="shared" si="82"/>
        <v>6.6452990903344604</v>
      </c>
      <c r="T269" s="6">
        <f t="shared" si="83"/>
        <v>166.13247725836152</v>
      </c>
      <c r="U269" s="6">
        <f t="shared" si="84"/>
        <v>41.533119314590373</v>
      </c>
      <c r="V269" s="6">
        <f t="shared" si="85"/>
        <v>207.6655965729519</v>
      </c>
      <c r="W269">
        <v>3</v>
      </c>
      <c r="X269" t="str">
        <f t="shared" si="86"/>
        <v>ALERT</v>
      </c>
      <c r="Y269" s="6">
        <f t="shared" si="87"/>
        <v>17</v>
      </c>
      <c r="Z269" s="6">
        <f t="shared" si="88"/>
        <v>34</v>
      </c>
    </row>
    <row r="270" spans="1:26" x14ac:dyDescent="0.3">
      <c r="A270" s="3" t="str">
        <f t="shared" si="72"/>
        <v>SKU269</v>
      </c>
      <c r="B270" s="3">
        <v>496</v>
      </c>
      <c r="C270" s="3">
        <f t="shared" si="74"/>
        <v>644.80000000000007</v>
      </c>
      <c r="D270" s="3">
        <v>90.17</v>
      </c>
      <c r="E270" s="3">
        <v>6</v>
      </c>
      <c r="F270" s="3" t="str" cm="1">
        <f t="array" aca="1" ref="F270" ca="1">INDEX({"Electronics","Clothing","Food","Furniture"}, RANDBETWEEN(1,4))</f>
        <v>Food</v>
      </c>
      <c r="G270" s="3">
        <v>50</v>
      </c>
      <c r="H270" s="3">
        <v>2</v>
      </c>
      <c r="I270" s="3">
        <f t="shared" si="73"/>
        <v>44724.32</v>
      </c>
      <c r="J270" s="3">
        <f t="shared" si="89"/>
        <v>24190861.829999991</v>
      </c>
      <c r="K270" s="4">
        <f t="shared" si="75"/>
        <v>0.8300459220459635</v>
      </c>
      <c r="M270" s="6">
        <f t="shared" si="76"/>
        <v>157.48015748023622</v>
      </c>
      <c r="N270" s="6">
        <f t="shared" si="77"/>
        <v>179.55500549970753</v>
      </c>
      <c r="O270" s="6">
        <f t="shared" si="78"/>
        <v>1.3589041095890411</v>
      </c>
      <c r="P270" s="6">
        <f t="shared" si="79"/>
        <v>8.1534246575342468</v>
      </c>
      <c r="Q270" t="str">
        <f t="shared" si="80"/>
        <v>B</v>
      </c>
      <c r="R270" s="6">
        <f t="shared" si="81"/>
        <v>78.740078740118108</v>
      </c>
      <c r="S270" s="6">
        <f t="shared" si="82"/>
        <v>6.2992062992094491</v>
      </c>
      <c r="T270" s="6">
        <f t="shared" si="83"/>
        <v>157.48015748023622</v>
      </c>
      <c r="U270" s="6">
        <f t="shared" si="84"/>
        <v>39.370039370059054</v>
      </c>
      <c r="V270" s="6">
        <f t="shared" si="85"/>
        <v>196.85019685029528</v>
      </c>
      <c r="W270">
        <v>41</v>
      </c>
      <c r="X270" t="str">
        <f t="shared" si="86"/>
        <v>OK</v>
      </c>
      <c r="Y270" s="6">
        <f t="shared" si="87"/>
        <v>11</v>
      </c>
      <c r="Z270" s="6">
        <f t="shared" si="88"/>
        <v>11</v>
      </c>
    </row>
    <row r="271" spans="1:26" x14ac:dyDescent="0.3">
      <c r="A271" s="3" t="str">
        <f t="shared" si="72"/>
        <v>SKU270</v>
      </c>
      <c r="B271" s="3">
        <v>1854</v>
      </c>
      <c r="C271" s="3">
        <f t="shared" si="74"/>
        <v>2410.2000000000003</v>
      </c>
      <c r="D271" s="3">
        <v>24.12</v>
      </c>
      <c r="E271" s="3">
        <v>22</v>
      </c>
      <c r="F271" s="3" t="str" cm="1">
        <f t="array" aca="1" ref="F271" ca="1">INDEX({"Electronics","Clothing","Food","Furniture"}, RANDBETWEEN(1,4))</f>
        <v>Food</v>
      </c>
      <c r="G271" s="3">
        <v>50</v>
      </c>
      <c r="H271" s="3">
        <v>2</v>
      </c>
      <c r="I271" s="3">
        <f t="shared" si="73"/>
        <v>44718.48</v>
      </c>
      <c r="J271" s="3">
        <f t="shared" si="89"/>
        <v>24235580.309999991</v>
      </c>
      <c r="K271" s="4">
        <f t="shared" si="75"/>
        <v>0.83158031929997378</v>
      </c>
      <c r="M271" s="6">
        <f t="shared" si="76"/>
        <v>304.46674695276658</v>
      </c>
      <c r="N271" s="6">
        <f t="shared" si="77"/>
        <v>347.14550263542236</v>
      </c>
      <c r="O271" s="6">
        <f t="shared" si="78"/>
        <v>5.0794520547945208</v>
      </c>
      <c r="P271" s="6">
        <f t="shared" si="79"/>
        <v>111.74794520547945</v>
      </c>
      <c r="Q271" t="str">
        <f t="shared" si="80"/>
        <v>B</v>
      </c>
      <c r="R271" s="6">
        <f t="shared" si="81"/>
        <v>152.23337347638329</v>
      </c>
      <c r="S271" s="6">
        <f t="shared" si="82"/>
        <v>12.178669878110663</v>
      </c>
      <c r="T271" s="6">
        <f t="shared" si="83"/>
        <v>304.46674695276658</v>
      </c>
      <c r="U271" s="6">
        <f t="shared" si="84"/>
        <v>76.116686738191646</v>
      </c>
      <c r="V271" s="6">
        <f t="shared" si="85"/>
        <v>380.58343369095826</v>
      </c>
      <c r="W271">
        <v>51</v>
      </c>
      <c r="X271" t="str">
        <f t="shared" si="86"/>
        <v>ALERT</v>
      </c>
      <c r="Y271" s="6">
        <f t="shared" si="87"/>
        <v>27</v>
      </c>
      <c r="Z271" s="6">
        <f t="shared" si="88"/>
        <v>135</v>
      </c>
    </row>
    <row r="272" spans="1:26" x14ac:dyDescent="0.3">
      <c r="A272" s="3" t="str">
        <f t="shared" si="72"/>
        <v>SKU271</v>
      </c>
      <c r="B272" s="3">
        <v>1313</v>
      </c>
      <c r="C272" s="3">
        <f t="shared" si="74"/>
        <v>1706.9</v>
      </c>
      <c r="D272" s="3">
        <v>33.9</v>
      </c>
      <c r="E272" s="3">
        <v>8</v>
      </c>
      <c r="F272" s="3" t="str" cm="1">
        <f t="array" aca="1" ref="F272" ca="1">INDEX({"Electronics","Clothing","Food","Furniture"}, RANDBETWEEN(1,4))</f>
        <v>Electronics</v>
      </c>
      <c r="G272" s="3">
        <v>50</v>
      </c>
      <c r="H272" s="3">
        <v>2</v>
      </c>
      <c r="I272" s="3">
        <f t="shared" si="73"/>
        <v>44510.7</v>
      </c>
      <c r="J272" s="3">
        <f t="shared" si="89"/>
        <v>24280091.00999999</v>
      </c>
      <c r="K272" s="4">
        <f t="shared" si="75"/>
        <v>0.83310758712871202</v>
      </c>
      <c r="M272" s="6">
        <f t="shared" si="76"/>
        <v>256.22255950637913</v>
      </c>
      <c r="N272" s="6">
        <f t="shared" si="77"/>
        <v>292.13866570517501</v>
      </c>
      <c r="O272" s="6">
        <f t="shared" si="78"/>
        <v>3.5972602739726027</v>
      </c>
      <c r="P272" s="6">
        <f t="shared" si="79"/>
        <v>28.778082191780822</v>
      </c>
      <c r="Q272" t="str">
        <f t="shared" si="80"/>
        <v>B</v>
      </c>
      <c r="R272" s="6">
        <f t="shared" si="81"/>
        <v>128.11127975318956</v>
      </c>
      <c r="S272" s="6">
        <f t="shared" si="82"/>
        <v>10.248902380255165</v>
      </c>
      <c r="T272" s="6">
        <f t="shared" si="83"/>
        <v>256.22255950637913</v>
      </c>
      <c r="U272" s="6">
        <f t="shared" si="84"/>
        <v>64.055639876594782</v>
      </c>
      <c r="V272" s="6">
        <f t="shared" si="85"/>
        <v>320.27819938297392</v>
      </c>
      <c r="W272">
        <v>36</v>
      </c>
      <c r="X272" t="str">
        <f t="shared" si="86"/>
        <v>OK</v>
      </c>
      <c r="Y272" s="6">
        <f t="shared" si="87"/>
        <v>13</v>
      </c>
      <c r="Z272" s="6">
        <f t="shared" si="88"/>
        <v>52</v>
      </c>
    </row>
    <row r="273" spans="1:26" x14ac:dyDescent="0.3">
      <c r="A273" s="3" t="str">
        <f t="shared" si="72"/>
        <v>SKU272</v>
      </c>
      <c r="B273" s="3">
        <v>698</v>
      </c>
      <c r="C273" s="3">
        <f t="shared" si="74"/>
        <v>907.4</v>
      </c>
      <c r="D273" s="3">
        <v>62.83</v>
      </c>
      <c r="E273" s="3">
        <v>1</v>
      </c>
      <c r="F273" s="3" t="str" cm="1">
        <f t="array" aca="1" ref="F273" ca="1">INDEX({"Electronics","Clothing","Food","Furniture"}, RANDBETWEEN(1,4))</f>
        <v>Food</v>
      </c>
      <c r="G273" s="3">
        <v>50</v>
      </c>
      <c r="H273" s="3">
        <v>2</v>
      </c>
      <c r="I273" s="3">
        <f t="shared" si="73"/>
        <v>43855.34</v>
      </c>
      <c r="J273" s="3">
        <f t="shared" si="89"/>
        <v>24323946.34999999</v>
      </c>
      <c r="K273" s="4">
        <f t="shared" si="75"/>
        <v>0.83461236799938754</v>
      </c>
      <c r="M273" s="6">
        <f t="shared" si="76"/>
        <v>186.81541692269406</v>
      </c>
      <c r="N273" s="6">
        <f t="shared" si="77"/>
        <v>213.00234740490538</v>
      </c>
      <c r="O273" s="6">
        <f t="shared" si="78"/>
        <v>1.9123287671232876</v>
      </c>
      <c r="P273" s="6">
        <f t="shared" si="79"/>
        <v>1.9123287671232876</v>
      </c>
      <c r="Q273" t="str">
        <f t="shared" si="80"/>
        <v>B</v>
      </c>
      <c r="R273" s="6">
        <f t="shared" si="81"/>
        <v>93.407708461347028</v>
      </c>
      <c r="S273" s="6">
        <f t="shared" si="82"/>
        <v>7.4726166769077613</v>
      </c>
      <c r="T273" s="6">
        <f t="shared" si="83"/>
        <v>186.81541692269403</v>
      </c>
      <c r="U273" s="6">
        <f t="shared" si="84"/>
        <v>46.703854230673514</v>
      </c>
      <c r="V273" s="6">
        <f t="shared" si="85"/>
        <v>233.51927115336753</v>
      </c>
      <c r="W273">
        <v>0</v>
      </c>
      <c r="X273" t="str">
        <f t="shared" si="86"/>
        <v>ALERT</v>
      </c>
      <c r="Y273" s="6">
        <f t="shared" si="87"/>
        <v>6</v>
      </c>
      <c r="Z273" s="6">
        <f t="shared" si="88"/>
        <v>12</v>
      </c>
    </row>
    <row r="274" spans="1:26" x14ac:dyDescent="0.3">
      <c r="A274" s="3" t="str">
        <f t="shared" si="72"/>
        <v>SKU273</v>
      </c>
      <c r="B274" s="3">
        <v>588</v>
      </c>
      <c r="C274" s="3">
        <f t="shared" si="74"/>
        <v>764.4</v>
      </c>
      <c r="D274" s="3">
        <v>74.349999999999994</v>
      </c>
      <c r="E274" s="3">
        <v>11</v>
      </c>
      <c r="F274" s="3" t="str" cm="1">
        <f t="array" aca="1" ref="F274" ca="1">INDEX({"Electronics","Clothing","Food","Furniture"}, RANDBETWEEN(1,4))</f>
        <v>Food</v>
      </c>
      <c r="G274" s="3">
        <v>50</v>
      </c>
      <c r="H274" s="3">
        <v>2</v>
      </c>
      <c r="I274" s="3">
        <f t="shared" si="73"/>
        <v>43717.799999999996</v>
      </c>
      <c r="J274" s="3">
        <f t="shared" si="89"/>
        <v>24367664.149999991</v>
      </c>
      <c r="K274" s="4">
        <f t="shared" si="75"/>
        <v>0.83611242954600928</v>
      </c>
      <c r="M274" s="6">
        <f t="shared" si="76"/>
        <v>171.46428199482247</v>
      </c>
      <c r="N274" s="6">
        <f t="shared" si="77"/>
        <v>195.49936061276517</v>
      </c>
      <c r="O274" s="6">
        <f t="shared" si="78"/>
        <v>1.6109589041095891</v>
      </c>
      <c r="P274" s="6">
        <f t="shared" si="79"/>
        <v>17.720547945205482</v>
      </c>
      <c r="Q274" t="str">
        <f t="shared" si="80"/>
        <v>B</v>
      </c>
      <c r="R274" s="6">
        <f t="shared" si="81"/>
        <v>85.732140997411236</v>
      </c>
      <c r="S274" s="6">
        <f t="shared" si="82"/>
        <v>6.8585712797928986</v>
      </c>
      <c r="T274" s="6">
        <f t="shared" si="83"/>
        <v>171.46428199482247</v>
      </c>
      <c r="U274" s="6">
        <f t="shared" si="84"/>
        <v>42.866070498705618</v>
      </c>
      <c r="V274" s="6">
        <f t="shared" si="85"/>
        <v>214.3303524935281</v>
      </c>
      <c r="W274">
        <v>23</v>
      </c>
      <c r="X274" t="str">
        <f t="shared" si="86"/>
        <v>OK</v>
      </c>
      <c r="Y274" s="6">
        <f t="shared" si="87"/>
        <v>16</v>
      </c>
      <c r="Z274" s="6">
        <f t="shared" si="88"/>
        <v>32</v>
      </c>
    </row>
    <row r="275" spans="1:26" x14ac:dyDescent="0.3">
      <c r="A275" s="3" t="str">
        <f t="shared" si="72"/>
        <v>SKU274</v>
      </c>
      <c r="B275" s="3">
        <v>1585</v>
      </c>
      <c r="C275" s="3">
        <f t="shared" si="74"/>
        <v>2060.5</v>
      </c>
      <c r="D275" s="3">
        <v>27.52</v>
      </c>
      <c r="E275" s="3">
        <v>4</v>
      </c>
      <c r="F275" s="3" t="str" cm="1">
        <f t="array" aca="1" ref="F275" ca="1">INDEX({"Electronics","Clothing","Food","Furniture"}, RANDBETWEEN(1,4))</f>
        <v>Furniture</v>
      </c>
      <c r="G275" s="3">
        <v>50</v>
      </c>
      <c r="H275" s="3">
        <v>2</v>
      </c>
      <c r="I275" s="3">
        <f t="shared" si="73"/>
        <v>43619.199999999997</v>
      </c>
      <c r="J275" s="3">
        <f t="shared" si="89"/>
        <v>24411283.34999999</v>
      </c>
      <c r="K275" s="4">
        <f t="shared" si="75"/>
        <v>0.83760910789245857</v>
      </c>
      <c r="M275" s="6">
        <f t="shared" si="76"/>
        <v>281.51376520518494</v>
      </c>
      <c r="N275" s="6">
        <f t="shared" si="77"/>
        <v>320.97507691408066</v>
      </c>
      <c r="O275" s="6">
        <f t="shared" si="78"/>
        <v>4.3424657534246576</v>
      </c>
      <c r="P275" s="6">
        <f t="shared" si="79"/>
        <v>17.36986301369863</v>
      </c>
      <c r="Q275" t="str">
        <f t="shared" si="80"/>
        <v>B</v>
      </c>
      <c r="R275" s="6">
        <f t="shared" si="81"/>
        <v>140.75688260259247</v>
      </c>
      <c r="S275" s="6">
        <f t="shared" si="82"/>
        <v>11.260550608207398</v>
      </c>
      <c r="T275" s="6">
        <f t="shared" si="83"/>
        <v>281.51376520518494</v>
      </c>
      <c r="U275" s="6">
        <f t="shared" si="84"/>
        <v>70.378441301296235</v>
      </c>
      <c r="V275" s="6">
        <f t="shared" si="85"/>
        <v>351.89220650648116</v>
      </c>
      <c r="W275">
        <v>4</v>
      </c>
      <c r="X275" t="str">
        <f t="shared" si="86"/>
        <v>ALERT</v>
      </c>
      <c r="Y275" s="6">
        <f t="shared" si="87"/>
        <v>9</v>
      </c>
      <c r="Z275" s="6">
        <f t="shared" si="88"/>
        <v>36</v>
      </c>
    </row>
    <row r="276" spans="1:26" x14ac:dyDescent="0.3">
      <c r="A276" s="3" t="str">
        <f t="shared" si="72"/>
        <v>SKU275</v>
      </c>
      <c r="B276" s="3">
        <v>589</v>
      </c>
      <c r="C276" s="3">
        <f t="shared" si="74"/>
        <v>765.7</v>
      </c>
      <c r="D276" s="3">
        <v>74.05</v>
      </c>
      <c r="E276" s="3">
        <v>21</v>
      </c>
      <c r="F276" s="3" t="str" cm="1">
        <f t="array" aca="1" ref="F276" ca="1">INDEX({"Electronics","Clothing","Food","Furniture"}, RANDBETWEEN(1,4))</f>
        <v>Furniture</v>
      </c>
      <c r="G276" s="3">
        <v>50</v>
      </c>
      <c r="H276" s="3">
        <v>2</v>
      </c>
      <c r="I276" s="3">
        <f t="shared" si="73"/>
        <v>43615.45</v>
      </c>
      <c r="J276" s="3">
        <f t="shared" si="89"/>
        <v>24454898.79999999</v>
      </c>
      <c r="K276" s="4">
        <f t="shared" si="75"/>
        <v>0.83910565756750166</v>
      </c>
      <c r="M276" s="6">
        <f t="shared" si="76"/>
        <v>171.61002301730514</v>
      </c>
      <c r="N276" s="6">
        <f t="shared" si="77"/>
        <v>195.66553094502873</v>
      </c>
      <c r="O276" s="6">
        <f t="shared" si="78"/>
        <v>1.6136986301369862</v>
      </c>
      <c r="P276" s="6">
        <f t="shared" si="79"/>
        <v>33.887671232876713</v>
      </c>
      <c r="Q276" t="str">
        <f t="shared" si="80"/>
        <v>B</v>
      </c>
      <c r="R276" s="6">
        <f t="shared" si="81"/>
        <v>85.805011508652569</v>
      </c>
      <c r="S276" s="6">
        <f t="shared" si="82"/>
        <v>6.8644009206922059</v>
      </c>
      <c r="T276" s="6">
        <f t="shared" si="83"/>
        <v>171.61002301730514</v>
      </c>
      <c r="U276" s="6">
        <f t="shared" si="84"/>
        <v>42.902505754326285</v>
      </c>
      <c r="V276" s="6">
        <f t="shared" si="85"/>
        <v>214.51252877163142</v>
      </c>
      <c r="W276">
        <v>24</v>
      </c>
      <c r="X276" t="str">
        <f t="shared" si="86"/>
        <v>ALERT</v>
      </c>
      <c r="Y276" s="6">
        <f t="shared" si="87"/>
        <v>26</v>
      </c>
      <c r="Z276" s="6">
        <f t="shared" si="88"/>
        <v>52</v>
      </c>
    </row>
    <row r="277" spans="1:26" x14ac:dyDescent="0.3">
      <c r="A277" s="3" t="str">
        <f t="shared" si="72"/>
        <v>SKU276</v>
      </c>
      <c r="B277" s="3">
        <v>806</v>
      </c>
      <c r="C277" s="3">
        <f t="shared" si="74"/>
        <v>1047.8</v>
      </c>
      <c r="D277" s="3">
        <v>54.04</v>
      </c>
      <c r="E277" s="3">
        <v>2</v>
      </c>
      <c r="F277" s="3" t="str" cm="1">
        <f t="array" aca="1" ref="F277" ca="1">INDEX({"Electronics","Clothing","Food","Furniture"}, RANDBETWEEN(1,4))</f>
        <v>Food</v>
      </c>
      <c r="G277" s="3">
        <v>50</v>
      </c>
      <c r="H277" s="3">
        <v>2</v>
      </c>
      <c r="I277" s="3">
        <f t="shared" si="73"/>
        <v>43556.24</v>
      </c>
      <c r="J277" s="3">
        <f t="shared" si="89"/>
        <v>24498455.039999988</v>
      </c>
      <c r="K277" s="4">
        <f t="shared" si="75"/>
        <v>0.84060017560682254</v>
      </c>
      <c r="M277" s="6">
        <f t="shared" si="76"/>
        <v>200.74859899884731</v>
      </c>
      <c r="N277" s="6">
        <f t="shared" si="77"/>
        <v>228.88861920156711</v>
      </c>
      <c r="O277" s="6">
        <f t="shared" si="78"/>
        <v>2.2082191780821918</v>
      </c>
      <c r="P277" s="6">
        <f t="shared" si="79"/>
        <v>4.4164383561643836</v>
      </c>
      <c r="Q277" t="str">
        <f t="shared" si="80"/>
        <v>B</v>
      </c>
      <c r="R277" s="6">
        <f t="shared" si="81"/>
        <v>100.37429949942366</v>
      </c>
      <c r="S277" s="6">
        <f t="shared" si="82"/>
        <v>8.0299439599538918</v>
      </c>
      <c r="T277" s="6">
        <f t="shared" si="83"/>
        <v>200.74859899884729</v>
      </c>
      <c r="U277" s="6">
        <f t="shared" si="84"/>
        <v>50.187149749711828</v>
      </c>
      <c r="V277" s="6">
        <f t="shared" si="85"/>
        <v>250.93574874855912</v>
      </c>
      <c r="W277">
        <v>0</v>
      </c>
      <c r="X277" t="str">
        <f t="shared" si="86"/>
        <v>ALERT</v>
      </c>
      <c r="Y277" s="6">
        <f t="shared" si="87"/>
        <v>7</v>
      </c>
      <c r="Z277" s="6">
        <f t="shared" si="88"/>
        <v>14</v>
      </c>
    </row>
    <row r="278" spans="1:26" x14ac:dyDescent="0.3">
      <c r="A278" s="3" t="str">
        <f t="shared" si="72"/>
        <v>SKU277</v>
      </c>
      <c r="B278" s="3">
        <v>1731</v>
      </c>
      <c r="C278" s="3">
        <f t="shared" si="74"/>
        <v>2250.3000000000002</v>
      </c>
      <c r="D278" s="3">
        <v>25.1</v>
      </c>
      <c r="E278" s="3">
        <v>9</v>
      </c>
      <c r="F278" s="3" t="str" cm="1">
        <f t="array" aca="1" ref="F278" ca="1">INDEX({"Electronics","Clothing","Food","Furniture"}, RANDBETWEEN(1,4))</f>
        <v>Food</v>
      </c>
      <c r="G278" s="3">
        <v>50</v>
      </c>
      <c r="H278" s="3">
        <v>2</v>
      </c>
      <c r="I278" s="3">
        <f t="shared" si="73"/>
        <v>43448.100000000006</v>
      </c>
      <c r="J278" s="3">
        <f t="shared" si="89"/>
        <v>24541903.139999989</v>
      </c>
      <c r="K278" s="4">
        <f t="shared" si="75"/>
        <v>0.8420909831059139</v>
      </c>
      <c r="M278" s="6">
        <f t="shared" si="76"/>
        <v>294.19381366711298</v>
      </c>
      <c r="N278" s="6">
        <f t="shared" si="77"/>
        <v>335.43255655943716</v>
      </c>
      <c r="O278" s="6">
        <f t="shared" si="78"/>
        <v>4.7424657534246579</v>
      </c>
      <c r="P278" s="6">
        <f t="shared" si="79"/>
        <v>42.682191780821924</v>
      </c>
      <c r="Q278" t="str">
        <f t="shared" si="80"/>
        <v>B</v>
      </c>
      <c r="R278" s="6">
        <f t="shared" si="81"/>
        <v>147.09690683355649</v>
      </c>
      <c r="S278" s="6">
        <f t="shared" si="82"/>
        <v>11.76775254668452</v>
      </c>
      <c r="T278" s="6">
        <f t="shared" si="83"/>
        <v>294.19381366711298</v>
      </c>
      <c r="U278" s="6">
        <f t="shared" si="84"/>
        <v>73.548453416778244</v>
      </c>
      <c r="V278" s="6">
        <f t="shared" si="85"/>
        <v>367.74226708389119</v>
      </c>
      <c r="W278">
        <v>65</v>
      </c>
      <c r="X278" t="str">
        <f t="shared" si="86"/>
        <v>OK</v>
      </c>
      <c r="Y278" s="6">
        <f t="shared" si="87"/>
        <v>14</v>
      </c>
      <c r="Z278" s="6">
        <f t="shared" si="88"/>
        <v>70</v>
      </c>
    </row>
    <row r="279" spans="1:26" x14ac:dyDescent="0.3">
      <c r="A279" s="3" t="str">
        <f t="shared" si="72"/>
        <v>SKU278</v>
      </c>
      <c r="B279" s="3">
        <v>994</v>
      </c>
      <c r="C279" s="3">
        <f t="shared" si="74"/>
        <v>1292.2</v>
      </c>
      <c r="D279" s="3">
        <v>43.71</v>
      </c>
      <c r="E279" s="3">
        <v>10</v>
      </c>
      <c r="F279" s="3" t="str" cm="1">
        <f t="array" aca="1" ref="F279" ca="1">INDEX({"Electronics","Clothing","Food","Furniture"}, RANDBETWEEN(1,4))</f>
        <v>Food</v>
      </c>
      <c r="G279" s="3">
        <v>50</v>
      </c>
      <c r="H279" s="3">
        <v>2</v>
      </c>
      <c r="I279" s="3">
        <f t="shared" si="73"/>
        <v>43447.74</v>
      </c>
      <c r="J279" s="3">
        <f t="shared" si="89"/>
        <v>24585350.879999988</v>
      </c>
      <c r="K279" s="4">
        <f t="shared" si="75"/>
        <v>0.8435817782525501</v>
      </c>
      <c r="M279" s="6">
        <f t="shared" si="76"/>
        <v>222.93496809607953</v>
      </c>
      <c r="N279" s="6">
        <f t="shared" si="77"/>
        <v>254.18497201841024</v>
      </c>
      <c r="O279" s="6">
        <f t="shared" si="78"/>
        <v>2.7232876712328768</v>
      </c>
      <c r="P279" s="6">
        <f t="shared" si="79"/>
        <v>27.232876712328768</v>
      </c>
      <c r="Q279" t="str">
        <f t="shared" si="80"/>
        <v>B</v>
      </c>
      <c r="R279" s="6">
        <f t="shared" si="81"/>
        <v>111.46748404803976</v>
      </c>
      <c r="S279" s="6">
        <f t="shared" si="82"/>
        <v>8.9173987238431813</v>
      </c>
      <c r="T279" s="6">
        <f t="shared" si="83"/>
        <v>222.93496809607953</v>
      </c>
      <c r="U279" s="6">
        <f t="shared" si="84"/>
        <v>55.733742024019882</v>
      </c>
      <c r="V279" s="6">
        <f t="shared" si="85"/>
        <v>278.66871012009943</v>
      </c>
      <c r="W279">
        <v>61</v>
      </c>
      <c r="X279" t="str">
        <f t="shared" si="86"/>
        <v>OK</v>
      </c>
      <c r="Y279" s="6">
        <f t="shared" si="87"/>
        <v>15</v>
      </c>
      <c r="Z279" s="6">
        <f t="shared" si="88"/>
        <v>45</v>
      </c>
    </row>
    <row r="280" spans="1:26" x14ac:dyDescent="0.3">
      <c r="A280" s="3" t="str">
        <f t="shared" si="72"/>
        <v>SKU279</v>
      </c>
      <c r="B280" s="3">
        <v>606</v>
      </c>
      <c r="C280" s="3">
        <f t="shared" si="74"/>
        <v>787.80000000000007</v>
      </c>
      <c r="D280" s="3">
        <v>70.959999999999994</v>
      </c>
      <c r="E280" s="3">
        <v>30</v>
      </c>
      <c r="F280" s="3" t="str" cm="1">
        <f t="array" aca="1" ref="F280" ca="1">INDEX({"Electronics","Clothing","Food","Furniture"}, RANDBETWEEN(1,4))</f>
        <v>Food</v>
      </c>
      <c r="G280" s="3">
        <v>50</v>
      </c>
      <c r="H280" s="3">
        <v>2</v>
      </c>
      <c r="I280" s="3">
        <f t="shared" si="73"/>
        <v>43001.759999999995</v>
      </c>
      <c r="J280" s="3">
        <f t="shared" si="89"/>
        <v>24628352.639999989</v>
      </c>
      <c r="K280" s="4">
        <f t="shared" si="75"/>
        <v>0.84505727076619575</v>
      </c>
      <c r="M280" s="6">
        <f t="shared" si="76"/>
        <v>174.06895185529211</v>
      </c>
      <c r="N280" s="6">
        <f t="shared" si="77"/>
        <v>198.46914117816905</v>
      </c>
      <c r="O280" s="6">
        <f t="shared" si="78"/>
        <v>1.6602739726027398</v>
      </c>
      <c r="P280" s="6">
        <f t="shared" si="79"/>
        <v>49.808219178082197</v>
      </c>
      <c r="Q280" t="str">
        <f t="shared" si="80"/>
        <v>B</v>
      </c>
      <c r="R280" s="6">
        <f t="shared" si="81"/>
        <v>87.034475927646056</v>
      </c>
      <c r="S280" s="6">
        <f t="shared" si="82"/>
        <v>6.9627580742116839</v>
      </c>
      <c r="T280" s="6">
        <f t="shared" si="83"/>
        <v>174.06895185529208</v>
      </c>
      <c r="U280" s="6">
        <f t="shared" si="84"/>
        <v>43.517237963823028</v>
      </c>
      <c r="V280" s="6">
        <f t="shared" si="85"/>
        <v>217.58618981911511</v>
      </c>
      <c r="W280">
        <v>98</v>
      </c>
      <c r="X280" t="str">
        <f t="shared" si="86"/>
        <v>OK</v>
      </c>
      <c r="Y280" s="6">
        <f t="shared" si="87"/>
        <v>35</v>
      </c>
      <c r="Z280" s="6">
        <f t="shared" si="88"/>
        <v>70</v>
      </c>
    </row>
    <row r="281" spans="1:26" x14ac:dyDescent="0.3">
      <c r="A281" s="3" t="str">
        <f t="shared" si="72"/>
        <v>SKU280</v>
      </c>
      <c r="B281" s="3">
        <v>874</v>
      </c>
      <c r="C281" s="3">
        <f t="shared" si="74"/>
        <v>1136.2</v>
      </c>
      <c r="D281" s="3">
        <v>48.95</v>
      </c>
      <c r="E281" s="3">
        <v>14</v>
      </c>
      <c r="F281" s="3" t="str" cm="1">
        <f t="array" aca="1" ref="F281" ca="1">INDEX({"Electronics","Clothing","Food","Furniture"}, RANDBETWEEN(1,4))</f>
        <v>Furniture</v>
      </c>
      <c r="G281" s="3">
        <v>50</v>
      </c>
      <c r="H281" s="3">
        <v>2</v>
      </c>
      <c r="I281" s="3">
        <f t="shared" si="73"/>
        <v>42782.3</v>
      </c>
      <c r="J281" s="3">
        <f t="shared" si="89"/>
        <v>24671134.93999999</v>
      </c>
      <c r="K281" s="4">
        <f t="shared" si="75"/>
        <v>0.84652523308602956</v>
      </c>
      <c r="M281" s="6">
        <f t="shared" si="76"/>
        <v>209.04544960366871</v>
      </c>
      <c r="N281" s="6">
        <f t="shared" si="77"/>
        <v>238.34848436690342</v>
      </c>
      <c r="O281" s="6">
        <f t="shared" si="78"/>
        <v>2.3945205479452056</v>
      </c>
      <c r="P281" s="6">
        <f t="shared" si="79"/>
        <v>33.523287671232879</v>
      </c>
      <c r="Q281" t="str">
        <f t="shared" si="80"/>
        <v>B</v>
      </c>
      <c r="R281" s="6">
        <f t="shared" si="81"/>
        <v>104.52272480183436</v>
      </c>
      <c r="S281" s="6">
        <f t="shared" si="82"/>
        <v>8.3618179841467501</v>
      </c>
      <c r="T281" s="6">
        <f t="shared" si="83"/>
        <v>209.04544960366874</v>
      </c>
      <c r="U281" s="6">
        <f t="shared" si="84"/>
        <v>52.261362400917179</v>
      </c>
      <c r="V281" s="6">
        <f t="shared" si="85"/>
        <v>261.30681200458594</v>
      </c>
      <c r="W281">
        <v>42</v>
      </c>
      <c r="X281" t="str">
        <f t="shared" si="86"/>
        <v>OK</v>
      </c>
      <c r="Y281" s="6">
        <f t="shared" si="87"/>
        <v>19</v>
      </c>
      <c r="Z281" s="6">
        <f t="shared" si="88"/>
        <v>38</v>
      </c>
    </row>
    <row r="282" spans="1:26" x14ac:dyDescent="0.3">
      <c r="A282" s="3" t="str">
        <f t="shared" si="72"/>
        <v>SKU281</v>
      </c>
      <c r="B282" s="3">
        <v>1042</v>
      </c>
      <c r="C282" s="3">
        <f t="shared" si="74"/>
        <v>1354.6000000000001</v>
      </c>
      <c r="D282" s="3">
        <v>40.96</v>
      </c>
      <c r="E282" s="3">
        <v>16</v>
      </c>
      <c r="F282" s="3" t="str" cm="1">
        <f t="array" aca="1" ref="F282" ca="1">INDEX({"Electronics","Clothing","Food","Furniture"}, RANDBETWEEN(1,4))</f>
        <v>Furniture</v>
      </c>
      <c r="G282" s="3">
        <v>50</v>
      </c>
      <c r="H282" s="3">
        <v>2</v>
      </c>
      <c r="I282" s="3">
        <f t="shared" si="73"/>
        <v>42680.32</v>
      </c>
      <c r="J282" s="3">
        <f t="shared" si="89"/>
        <v>24713815.25999999</v>
      </c>
      <c r="K282" s="4">
        <f t="shared" si="75"/>
        <v>0.84798969622986364</v>
      </c>
      <c r="M282" s="6">
        <f t="shared" si="76"/>
        <v>228.25424421026653</v>
      </c>
      <c r="N282" s="6">
        <f t="shared" si="77"/>
        <v>260.2498799231231</v>
      </c>
      <c r="O282" s="6">
        <f t="shared" si="78"/>
        <v>2.8547945205479452</v>
      </c>
      <c r="P282" s="6">
        <f t="shared" si="79"/>
        <v>45.676712328767124</v>
      </c>
      <c r="Q282" t="str">
        <f t="shared" si="80"/>
        <v>B</v>
      </c>
      <c r="R282" s="6">
        <f t="shared" si="81"/>
        <v>114.12712210513327</v>
      </c>
      <c r="S282" s="6">
        <f t="shared" si="82"/>
        <v>9.1301697684106617</v>
      </c>
      <c r="T282" s="6">
        <f t="shared" si="83"/>
        <v>228.25424421026653</v>
      </c>
      <c r="U282" s="6">
        <f t="shared" si="84"/>
        <v>57.063561052566634</v>
      </c>
      <c r="V282" s="6">
        <f t="shared" si="85"/>
        <v>285.31780526283319</v>
      </c>
      <c r="W282">
        <v>73</v>
      </c>
      <c r="X282" t="str">
        <f t="shared" si="86"/>
        <v>OK</v>
      </c>
      <c r="Y282" s="6">
        <f t="shared" si="87"/>
        <v>21</v>
      </c>
      <c r="Z282" s="6">
        <f t="shared" si="88"/>
        <v>63</v>
      </c>
    </row>
    <row r="283" spans="1:26" x14ac:dyDescent="0.3">
      <c r="A283" s="3" t="str">
        <f t="shared" si="72"/>
        <v>SKU282</v>
      </c>
      <c r="B283" s="3">
        <v>596</v>
      </c>
      <c r="C283" s="3">
        <f t="shared" si="74"/>
        <v>774.80000000000007</v>
      </c>
      <c r="D283" s="3">
        <v>71.44</v>
      </c>
      <c r="E283" s="3">
        <v>14</v>
      </c>
      <c r="F283" s="3" t="str" cm="1">
        <f t="array" aca="1" ref="F283" ca="1">INDEX({"Electronics","Clothing","Food","Furniture"}, RANDBETWEEN(1,4))</f>
        <v>Furniture</v>
      </c>
      <c r="G283" s="3">
        <v>50</v>
      </c>
      <c r="H283" s="3">
        <v>2</v>
      </c>
      <c r="I283" s="3">
        <f t="shared" si="73"/>
        <v>42578.239999999998</v>
      </c>
      <c r="J283" s="3">
        <f t="shared" si="89"/>
        <v>24756393.499999989</v>
      </c>
      <c r="K283" s="4">
        <f t="shared" si="75"/>
        <v>0.84945065676646037</v>
      </c>
      <c r="M283" s="6">
        <f t="shared" si="76"/>
        <v>172.62676501632069</v>
      </c>
      <c r="N283" s="6">
        <f t="shared" si="77"/>
        <v>196.82479518597245</v>
      </c>
      <c r="O283" s="6">
        <f t="shared" si="78"/>
        <v>1.6328767123287671</v>
      </c>
      <c r="P283" s="6">
        <f t="shared" si="79"/>
        <v>22.860273972602741</v>
      </c>
      <c r="Q283" t="str">
        <f t="shared" si="80"/>
        <v>B</v>
      </c>
      <c r="R283" s="6">
        <f t="shared" si="81"/>
        <v>86.313382508160345</v>
      </c>
      <c r="S283" s="6">
        <f t="shared" si="82"/>
        <v>6.9050706006528273</v>
      </c>
      <c r="T283" s="6">
        <f t="shared" si="83"/>
        <v>172.62676501632069</v>
      </c>
      <c r="U283" s="6">
        <f t="shared" si="84"/>
        <v>43.156691254080172</v>
      </c>
      <c r="V283" s="6">
        <f t="shared" si="85"/>
        <v>215.78345627040085</v>
      </c>
      <c r="W283">
        <v>1</v>
      </c>
      <c r="X283" t="str">
        <f t="shared" si="86"/>
        <v>ALERT</v>
      </c>
      <c r="Y283" s="6">
        <f t="shared" si="87"/>
        <v>19</v>
      </c>
      <c r="Z283" s="6">
        <f t="shared" si="88"/>
        <v>38</v>
      </c>
    </row>
    <row r="284" spans="1:26" x14ac:dyDescent="0.3">
      <c r="A284" s="3" t="str">
        <f t="shared" si="72"/>
        <v>SKU283</v>
      </c>
      <c r="B284" s="3">
        <v>796</v>
      </c>
      <c r="C284" s="3">
        <f t="shared" si="74"/>
        <v>1034.8</v>
      </c>
      <c r="D284" s="3">
        <v>53.11</v>
      </c>
      <c r="E284" s="3">
        <v>12</v>
      </c>
      <c r="F284" s="3" t="str" cm="1">
        <f t="array" aca="1" ref="F284" ca="1">INDEX({"Electronics","Clothing","Food","Furniture"}, RANDBETWEEN(1,4))</f>
        <v>Clothing</v>
      </c>
      <c r="G284" s="3">
        <v>50</v>
      </c>
      <c r="H284" s="3">
        <v>2</v>
      </c>
      <c r="I284" s="3">
        <f t="shared" si="73"/>
        <v>42275.56</v>
      </c>
      <c r="J284" s="3">
        <f t="shared" si="89"/>
        <v>24798669.059999987</v>
      </c>
      <c r="K284" s="4">
        <f t="shared" si="75"/>
        <v>0.85090123163340003</v>
      </c>
      <c r="M284" s="6">
        <f t="shared" si="76"/>
        <v>199.49937343260004</v>
      </c>
      <c r="N284" s="6">
        <f t="shared" si="77"/>
        <v>227.46428291052641</v>
      </c>
      <c r="O284" s="6">
        <f t="shared" si="78"/>
        <v>2.1808219178082191</v>
      </c>
      <c r="P284" s="6">
        <f t="shared" si="79"/>
        <v>26.169863013698631</v>
      </c>
      <c r="Q284" t="str">
        <f t="shared" si="80"/>
        <v>B</v>
      </c>
      <c r="R284" s="6">
        <f t="shared" si="81"/>
        <v>99.749686716300019</v>
      </c>
      <c r="S284" s="6">
        <f t="shared" si="82"/>
        <v>7.979974937304001</v>
      </c>
      <c r="T284" s="6">
        <f t="shared" si="83"/>
        <v>199.49937343260004</v>
      </c>
      <c r="U284" s="6">
        <f t="shared" si="84"/>
        <v>49.874843358150009</v>
      </c>
      <c r="V284" s="6">
        <f t="shared" si="85"/>
        <v>249.37421679075004</v>
      </c>
      <c r="W284">
        <v>9</v>
      </c>
      <c r="X284" t="str">
        <f t="shared" si="86"/>
        <v>ALERT</v>
      </c>
      <c r="Y284" s="6">
        <f t="shared" si="87"/>
        <v>17</v>
      </c>
      <c r="Z284" s="6">
        <f t="shared" si="88"/>
        <v>34</v>
      </c>
    </row>
    <row r="285" spans="1:26" x14ac:dyDescent="0.3">
      <c r="A285" s="3" t="str">
        <f t="shared" si="72"/>
        <v>SKU284</v>
      </c>
      <c r="B285" s="3">
        <v>1639</v>
      </c>
      <c r="C285" s="3">
        <f t="shared" si="74"/>
        <v>2130.7000000000003</v>
      </c>
      <c r="D285" s="3">
        <v>25.68</v>
      </c>
      <c r="E285" s="3">
        <v>25</v>
      </c>
      <c r="F285" s="3" t="str" cm="1">
        <f t="array" aca="1" ref="F285" ca="1">INDEX({"Electronics","Clothing","Food","Furniture"}, RANDBETWEEN(1,4))</f>
        <v>Food</v>
      </c>
      <c r="G285" s="3">
        <v>50</v>
      </c>
      <c r="H285" s="3">
        <v>2</v>
      </c>
      <c r="I285" s="3">
        <f t="shared" si="73"/>
        <v>42089.52</v>
      </c>
      <c r="J285" s="3">
        <f t="shared" si="89"/>
        <v>24840758.579999987</v>
      </c>
      <c r="K285" s="4">
        <f t="shared" si="75"/>
        <v>0.85234542302609961</v>
      </c>
      <c r="M285" s="6">
        <f t="shared" si="76"/>
        <v>286.26910416599276</v>
      </c>
      <c r="N285" s="6">
        <f t="shared" si="77"/>
        <v>326.39699753521018</v>
      </c>
      <c r="O285" s="6">
        <f t="shared" si="78"/>
        <v>4.4904109589041097</v>
      </c>
      <c r="P285" s="6">
        <f t="shared" si="79"/>
        <v>112.26027397260275</v>
      </c>
      <c r="Q285" t="str">
        <f t="shared" si="80"/>
        <v>B</v>
      </c>
      <c r="R285" s="6">
        <f t="shared" si="81"/>
        <v>143.13455208299638</v>
      </c>
      <c r="S285" s="6">
        <f t="shared" si="82"/>
        <v>11.450764166639708</v>
      </c>
      <c r="T285" s="6">
        <f t="shared" si="83"/>
        <v>286.2691041659927</v>
      </c>
      <c r="U285" s="6">
        <f t="shared" si="84"/>
        <v>71.567276041498189</v>
      </c>
      <c r="V285" s="6">
        <f t="shared" si="85"/>
        <v>357.83638020749089</v>
      </c>
      <c r="W285">
        <v>137</v>
      </c>
      <c r="X285" t="str">
        <f t="shared" si="86"/>
        <v>OK</v>
      </c>
      <c r="Y285" s="6">
        <f t="shared" si="87"/>
        <v>30</v>
      </c>
      <c r="Z285" s="6">
        <f t="shared" si="88"/>
        <v>120</v>
      </c>
    </row>
    <row r="286" spans="1:26" x14ac:dyDescent="0.3">
      <c r="A286" s="3" t="str">
        <f t="shared" si="72"/>
        <v>SKU285</v>
      </c>
      <c r="B286" s="3">
        <v>548</v>
      </c>
      <c r="C286" s="3">
        <f t="shared" si="74"/>
        <v>712.4</v>
      </c>
      <c r="D286" s="3">
        <v>76.569999999999993</v>
      </c>
      <c r="E286" s="3">
        <v>3</v>
      </c>
      <c r="F286" s="3" t="str" cm="1">
        <f t="array" aca="1" ref="F286" ca="1">INDEX({"Electronics","Clothing","Food","Furniture"}, RANDBETWEEN(1,4))</f>
        <v>Clothing</v>
      </c>
      <c r="G286" s="3">
        <v>50</v>
      </c>
      <c r="H286" s="3">
        <v>2</v>
      </c>
      <c r="I286" s="3">
        <f t="shared" si="73"/>
        <v>41960.359999999993</v>
      </c>
      <c r="J286" s="3">
        <f t="shared" si="89"/>
        <v>24882718.939999986</v>
      </c>
      <c r="K286" s="4">
        <f t="shared" si="75"/>
        <v>0.85378518263244763</v>
      </c>
      <c r="M286" s="6">
        <f t="shared" si="76"/>
        <v>165.5294535724685</v>
      </c>
      <c r="N286" s="6">
        <f t="shared" si="77"/>
        <v>188.73261509341728</v>
      </c>
      <c r="O286" s="6">
        <f t="shared" si="78"/>
        <v>1.5013698630136987</v>
      </c>
      <c r="P286" s="6">
        <f t="shared" si="79"/>
        <v>4.5041095890410965</v>
      </c>
      <c r="Q286" t="str">
        <f t="shared" si="80"/>
        <v>B</v>
      </c>
      <c r="R286" s="6">
        <f t="shared" si="81"/>
        <v>82.764726786234249</v>
      </c>
      <c r="S286" s="6">
        <f t="shared" si="82"/>
        <v>6.6211781428987386</v>
      </c>
      <c r="T286" s="6">
        <f t="shared" si="83"/>
        <v>165.52945357246847</v>
      </c>
      <c r="U286" s="6">
        <f t="shared" si="84"/>
        <v>41.382363393117124</v>
      </c>
      <c r="V286" s="6">
        <f t="shared" si="85"/>
        <v>206.91181696558559</v>
      </c>
      <c r="W286">
        <v>25</v>
      </c>
      <c r="X286" t="str">
        <f t="shared" si="86"/>
        <v>OK</v>
      </c>
      <c r="Y286" s="6">
        <f t="shared" si="87"/>
        <v>8</v>
      </c>
      <c r="Z286" s="6">
        <f t="shared" si="88"/>
        <v>16</v>
      </c>
    </row>
    <row r="287" spans="1:26" x14ac:dyDescent="0.3">
      <c r="A287" s="3" t="str">
        <f t="shared" si="72"/>
        <v>SKU286</v>
      </c>
      <c r="B287" s="3">
        <v>824</v>
      </c>
      <c r="C287" s="3">
        <f t="shared" si="74"/>
        <v>1071.2</v>
      </c>
      <c r="D287" s="3">
        <v>50.72</v>
      </c>
      <c r="E287" s="3">
        <v>9</v>
      </c>
      <c r="F287" s="3" t="str" cm="1">
        <f t="array" aca="1" ref="F287" ca="1">INDEX({"Electronics","Clothing","Food","Furniture"}, RANDBETWEEN(1,4))</f>
        <v>Clothing</v>
      </c>
      <c r="G287" s="3">
        <v>50</v>
      </c>
      <c r="H287" s="3">
        <v>2</v>
      </c>
      <c r="I287" s="3">
        <f t="shared" si="73"/>
        <v>41793.279999999999</v>
      </c>
      <c r="J287" s="3">
        <f t="shared" si="89"/>
        <v>24924512.219999988</v>
      </c>
      <c r="K287" s="4">
        <f t="shared" si="75"/>
        <v>0.85521920932718509</v>
      </c>
      <c r="M287" s="6">
        <f t="shared" si="76"/>
        <v>202.97783130184439</v>
      </c>
      <c r="N287" s="6">
        <f t="shared" si="77"/>
        <v>231.43033509028155</v>
      </c>
      <c r="O287" s="6">
        <f t="shared" si="78"/>
        <v>2.2575342465753425</v>
      </c>
      <c r="P287" s="6">
        <f t="shared" si="79"/>
        <v>20.317808219178083</v>
      </c>
      <c r="Q287" t="str">
        <f t="shared" si="80"/>
        <v>B</v>
      </c>
      <c r="R287" s="6">
        <f t="shared" si="81"/>
        <v>101.48891565092219</v>
      </c>
      <c r="S287" s="6">
        <f t="shared" si="82"/>
        <v>8.1191132520737757</v>
      </c>
      <c r="T287" s="6">
        <f t="shared" si="83"/>
        <v>202.97783130184439</v>
      </c>
      <c r="U287" s="6">
        <f t="shared" si="84"/>
        <v>50.744457825461097</v>
      </c>
      <c r="V287" s="6">
        <f t="shared" si="85"/>
        <v>253.72228912730549</v>
      </c>
      <c r="W287">
        <v>27</v>
      </c>
      <c r="X287" t="str">
        <f t="shared" si="86"/>
        <v>OK</v>
      </c>
      <c r="Y287" s="6">
        <f t="shared" si="87"/>
        <v>14</v>
      </c>
      <c r="Z287" s="6">
        <f t="shared" si="88"/>
        <v>28</v>
      </c>
    </row>
    <row r="288" spans="1:26" x14ac:dyDescent="0.3">
      <c r="A288" s="3" t="str">
        <f t="shared" si="72"/>
        <v>SKU287</v>
      </c>
      <c r="B288" s="3">
        <v>885</v>
      </c>
      <c r="C288" s="3">
        <f t="shared" si="74"/>
        <v>1150.5</v>
      </c>
      <c r="D288" s="3">
        <v>46.87</v>
      </c>
      <c r="E288" s="3">
        <v>22</v>
      </c>
      <c r="F288" s="3" t="str" cm="1">
        <f t="array" aca="1" ref="F288" ca="1">INDEX({"Electronics","Clothing","Food","Furniture"}, RANDBETWEEN(1,4))</f>
        <v>Electronics</v>
      </c>
      <c r="G288" s="3">
        <v>50</v>
      </c>
      <c r="H288" s="3">
        <v>2</v>
      </c>
      <c r="I288" s="3">
        <f t="shared" si="73"/>
        <v>41479.949999999997</v>
      </c>
      <c r="J288" s="3">
        <f t="shared" si="89"/>
        <v>24965992.169999987</v>
      </c>
      <c r="K288" s="4">
        <f t="shared" si="75"/>
        <v>0.85664248492547201</v>
      </c>
      <c r="M288" s="6">
        <f t="shared" si="76"/>
        <v>210.35683967962629</v>
      </c>
      <c r="N288" s="6">
        <f t="shared" si="77"/>
        <v>239.84369910422913</v>
      </c>
      <c r="O288" s="6">
        <f t="shared" si="78"/>
        <v>2.4246575342465753</v>
      </c>
      <c r="P288" s="6">
        <f t="shared" si="79"/>
        <v>53.342465753424655</v>
      </c>
      <c r="Q288" t="str">
        <f t="shared" si="80"/>
        <v>B</v>
      </c>
      <c r="R288" s="6">
        <f t="shared" si="81"/>
        <v>105.17841983981315</v>
      </c>
      <c r="S288" s="6">
        <f t="shared" si="82"/>
        <v>8.4142735871850522</v>
      </c>
      <c r="T288" s="6">
        <f t="shared" si="83"/>
        <v>210.35683967962632</v>
      </c>
      <c r="U288" s="6">
        <f t="shared" si="84"/>
        <v>52.589209919906573</v>
      </c>
      <c r="V288" s="6">
        <f t="shared" si="85"/>
        <v>262.9460495995329</v>
      </c>
      <c r="W288">
        <v>79</v>
      </c>
      <c r="X288" t="str">
        <f t="shared" si="86"/>
        <v>OK</v>
      </c>
      <c r="Y288" s="6">
        <f t="shared" si="87"/>
        <v>27</v>
      </c>
      <c r="Z288" s="6">
        <f t="shared" si="88"/>
        <v>54</v>
      </c>
    </row>
    <row r="289" spans="1:26" x14ac:dyDescent="0.3">
      <c r="A289" s="3" t="str">
        <f t="shared" si="72"/>
        <v>SKU288</v>
      </c>
      <c r="B289" s="3">
        <v>618</v>
      </c>
      <c r="C289" s="3">
        <f t="shared" si="74"/>
        <v>803.4</v>
      </c>
      <c r="D289" s="3">
        <v>66.010000000000005</v>
      </c>
      <c r="E289" s="3">
        <v>30</v>
      </c>
      <c r="F289" s="3" t="str" cm="1">
        <f t="array" aca="1" ref="F289" ca="1">INDEX({"Electronics","Clothing","Food","Furniture"}, RANDBETWEEN(1,4))</f>
        <v>Furniture</v>
      </c>
      <c r="G289" s="3">
        <v>50</v>
      </c>
      <c r="H289" s="3">
        <v>2</v>
      </c>
      <c r="I289" s="3">
        <f t="shared" si="73"/>
        <v>40794.18</v>
      </c>
      <c r="J289" s="3">
        <f t="shared" si="89"/>
        <v>25006786.349999987</v>
      </c>
      <c r="K289" s="4">
        <f t="shared" si="75"/>
        <v>0.85804223012637337</v>
      </c>
      <c r="M289" s="6">
        <f t="shared" si="76"/>
        <v>175.78395831246945</v>
      </c>
      <c r="N289" s="6">
        <f t="shared" si="77"/>
        <v>200.42454939452901</v>
      </c>
      <c r="O289" s="6">
        <f t="shared" si="78"/>
        <v>1.6931506849315068</v>
      </c>
      <c r="P289" s="6">
        <f t="shared" si="79"/>
        <v>50.794520547945204</v>
      </c>
      <c r="Q289" t="str">
        <f t="shared" si="80"/>
        <v>B</v>
      </c>
      <c r="R289" s="6">
        <f t="shared" si="81"/>
        <v>87.891979156234726</v>
      </c>
      <c r="S289" s="6">
        <f t="shared" si="82"/>
        <v>7.0313583324987787</v>
      </c>
      <c r="T289" s="6">
        <f t="shared" si="83"/>
        <v>175.78395831246948</v>
      </c>
      <c r="U289" s="6">
        <f t="shared" si="84"/>
        <v>43.945989578117363</v>
      </c>
      <c r="V289" s="6">
        <f t="shared" si="85"/>
        <v>219.72994789058686</v>
      </c>
      <c r="W289">
        <v>63</v>
      </c>
      <c r="X289" t="str">
        <f t="shared" si="86"/>
        <v>OK</v>
      </c>
      <c r="Y289" s="6">
        <f t="shared" si="87"/>
        <v>35</v>
      </c>
      <c r="Z289" s="6">
        <f t="shared" si="88"/>
        <v>70</v>
      </c>
    </row>
    <row r="290" spans="1:26" x14ac:dyDescent="0.3">
      <c r="A290" s="3" t="str">
        <f t="shared" si="72"/>
        <v>SKU289</v>
      </c>
      <c r="B290" s="3">
        <v>1255</v>
      </c>
      <c r="C290" s="3">
        <f t="shared" si="74"/>
        <v>1631.5</v>
      </c>
      <c r="D290" s="3">
        <v>32.33</v>
      </c>
      <c r="E290" s="3">
        <v>22</v>
      </c>
      <c r="F290" s="3" t="str" cm="1">
        <f t="array" aca="1" ref="F290" ca="1">INDEX({"Electronics","Clothing","Food","Furniture"}, RANDBETWEEN(1,4))</f>
        <v>Clothing</v>
      </c>
      <c r="G290" s="3">
        <v>50</v>
      </c>
      <c r="H290" s="3">
        <v>2</v>
      </c>
      <c r="I290" s="3">
        <f t="shared" si="73"/>
        <v>40574.15</v>
      </c>
      <c r="J290" s="3">
        <f t="shared" si="89"/>
        <v>25047360.499999985</v>
      </c>
      <c r="K290" s="4">
        <f t="shared" si="75"/>
        <v>0.85943442557540917</v>
      </c>
      <c r="M290" s="6">
        <f t="shared" si="76"/>
        <v>250.49950099750697</v>
      </c>
      <c r="N290" s="6">
        <f t="shared" si="77"/>
        <v>285.61337503695444</v>
      </c>
      <c r="O290" s="6">
        <f t="shared" si="78"/>
        <v>3.4383561643835616</v>
      </c>
      <c r="P290" s="6">
        <f t="shared" si="79"/>
        <v>75.643835616438352</v>
      </c>
      <c r="Q290" t="str">
        <f t="shared" si="80"/>
        <v>B</v>
      </c>
      <c r="R290" s="6">
        <f t="shared" si="81"/>
        <v>125.24975049875349</v>
      </c>
      <c r="S290" s="6">
        <f t="shared" si="82"/>
        <v>10.019980039900279</v>
      </c>
      <c r="T290" s="6">
        <f t="shared" si="83"/>
        <v>250.49950099750697</v>
      </c>
      <c r="U290" s="6">
        <f t="shared" si="84"/>
        <v>62.624875249376743</v>
      </c>
      <c r="V290" s="6">
        <f t="shared" si="85"/>
        <v>313.12437624688368</v>
      </c>
      <c r="W290">
        <v>30</v>
      </c>
      <c r="X290" t="str">
        <f t="shared" si="86"/>
        <v>ALERT</v>
      </c>
      <c r="Y290" s="6">
        <f t="shared" si="87"/>
        <v>27</v>
      </c>
      <c r="Z290" s="6">
        <f t="shared" si="88"/>
        <v>81</v>
      </c>
    </row>
    <row r="291" spans="1:26" x14ac:dyDescent="0.3">
      <c r="A291" s="3" t="str">
        <f t="shared" si="72"/>
        <v>SKU290</v>
      </c>
      <c r="B291" s="3">
        <v>765</v>
      </c>
      <c r="C291" s="3">
        <f t="shared" si="74"/>
        <v>994.5</v>
      </c>
      <c r="D291" s="3">
        <v>52.25</v>
      </c>
      <c r="E291" s="3">
        <v>9</v>
      </c>
      <c r="F291" s="3" t="str" cm="1">
        <f t="array" aca="1" ref="F291" ca="1">INDEX({"Electronics","Clothing","Food","Furniture"}, RANDBETWEEN(1,4))</f>
        <v>Food</v>
      </c>
      <c r="G291" s="3">
        <v>50</v>
      </c>
      <c r="H291" s="3">
        <v>2</v>
      </c>
      <c r="I291" s="3">
        <f t="shared" si="73"/>
        <v>39971.25</v>
      </c>
      <c r="J291" s="3">
        <f t="shared" si="89"/>
        <v>25087331.749999985</v>
      </c>
      <c r="K291" s="4">
        <f t="shared" si="75"/>
        <v>0.86080593409357342</v>
      </c>
      <c r="M291" s="6">
        <f t="shared" si="76"/>
        <v>195.57607215607945</v>
      </c>
      <c r="N291" s="6">
        <f t="shared" si="77"/>
        <v>222.99103120977759</v>
      </c>
      <c r="O291" s="6">
        <f t="shared" si="78"/>
        <v>2.095890410958904</v>
      </c>
      <c r="P291" s="6">
        <f t="shared" si="79"/>
        <v>18.863013698630137</v>
      </c>
      <c r="Q291" t="str">
        <f t="shared" si="80"/>
        <v>B</v>
      </c>
      <c r="R291" s="6">
        <f t="shared" si="81"/>
        <v>97.788036078039724</v>
      </c>
      <c r="S291" s="6">
        <f t="shared" si="82"/>
        <v>7.8230428862431793</v>
      </c>
      <c r="T291" s="6">
        <f t="shared" si="83"/>
        <v>195.57607215607948</v>
      </c>
      <c r="U291" s="6">
        <f t="shared" si="84"/>
        <v>48.894018039019862</v>
      </c>
      <c r="V291" s="6">
        <f t="shared" si="85"/>
        <v>244.47009019509935</v>
      </c>
      <c r="W291">
        <v>4</v>
      </c>
      <c r="X291" t="str">
        <f t="shared" si="86"/>
        <v>ALERT</v>
      </c>
      <c r="Y291" s="6">
        <f t="shared" si="87"/>
        <v>14</v>
      </c>
      <c r="Z291" s="6">
        <f t="shared" si="88"/>
        <v>28</v>
      </c>
    </row>
    <row r="292" spans="1:26" x14ac:dyDescent="0.3">
      <c r="A292" s="3" t="str">
        <f t="shared" si="72"/>
        <v>SKU291</v>
      </c>
      <c r="B292" s="3">
        <v>858</v>
      </c>
      <c r="C292" s="3">
        <f t="shared" si="74"/>
        <v>1115.4000000000001</v>
      </c>
      <c r="D292" s="3">
        <v>46.58</v>
      </c>
      <c r="E292" s="3">
        <v>27</v>
      </c>
      <c r="F292" s="3" t="str" cm="1">
        <f t="array" aca="1" ref="F292" ca="1">INDEX({"Electronics","Clothing","Food","Furniture"}, RANDBETWEEN(1,4))</f>
        <v>Food</v>
      </c>
      <c r="G292" s="3">
        <v>50</v>
      </c>
      <c r="H292" s="3">
        <v>2</v>
      </c>
      <c r="I292" s="3">
        <f t="shared" si="73"/>
        <v>39965.64</v>
      </c>
      <c r="J292" s="3">
        <f t="shared" si="89"/>
        <v>25127297.389999986</v>
      </c>
      <c r="K292" s="4">
        <f t="shared" si="75"/>
        <v>0.86217725011931412</v>
      </c>
      <c r="M292" s="6">
        <f t="shared" si="76"/>
        <v>207.12315177207978</v>
      </c>
      <c r="N292" s="6">
        <f t="shared" si="77"/>
        <v>236.15672761960437</v>
      </c>
      <c r="O292" s="6">
        <f t="shared" si="78"/>
        <v>2.3506849315068492</v>
      </c>
      <c r="P292" s="6">
        <f t="shared" si="79"/>
        <v>63.468493150684928</v>
      </c>
      <c r="Q292" t="str">
        <f t="shared" si="80"/>
        <v>B</v>
      </c>
      <c r="R292" s="6">
        <f t="shared" si="81"/>
        <v>103.56157588603989</v>
      </c>
      <c r="S292" s="6">
        <f t="shared" si="82"/>
        <v>8.2849260708831913</v>
      </c>
      <c r="T292" s="6">
        <f t="shared" si="83"/>
        <v>207.12315177207978</v>
      </c>
      <c r="U292" s="6">
        <f t="shared" si="84"/>
        <v>51.780787943019945</v>
      </c>
      <c r="V292" s="6">
        <f t="shared" si="85"/>
        <v>258.90393971509974</v>
      </c>
      <c r="W292">
        <v>105</v>
      </c>
      <c r="X292" t="str">
        <f t="shared" si="86"/>
        <v>OK</v>
      </c>
      <c r="Y292" s="6">
        <f t="shared" si="87"/>
        <v>32</v>
      </c>
      <c r="Z292" s="6">
        <f t="shared" si="88"/>
        <v>64</v>
      </c>
    </row>
    <row r="293" spans="1:26" x14ac:dyDescent="0.3">
      <c r="A293" s="3" t="str">
        <f t="shared" si="72"/>
        <v>SKU292</v>
      </c>
      <c r="B293" s="3">
        <v>860</v>
      </c>
      <c r="C293" s="3">
        <f t="shared" si="74"/>
        <v>1118</v>
      </c>
      <c r="D293" s="3">
        <v>45.65</v>
      </c>
      <c r="E293" s="3">
        <v>17</v>
      </c>
      <c r="F293" s="3" t="str" cm="1">
        <f t="array" aca="1" ref="F293" ca="1">INDEX({"Electronics","Clothing","Food","Furniture"}, RANDBETWEEN(1,4))</f>
        <v>Furniture</v>
      </c>
      <c r="G293" s="3">
        <v>50</v>
      </c>
      <c r="H293" s="3">
        <v>2</v>
      </c>
      <c r="I293" s="3">
        <f t="shared" si="73"/>
        <v>39259</v>
      </c>
      <c r="J293" s="3">
        <f t="shared" si="89"/>
        <v>25166556.389999986</v>
      </c>
      <c r="K293" s="4">
        <f t="shared" si="75"/>
        <v>0.86352431964840337</v>
      </c>
      <c r="M293" s="6">
        <f t="shared" si="76"/>
        <v>207.3644135332772</v>
      </c>
      <c r="N293" s="6">
        <f t="shared" si="77"/>
        <v>236.43180835073778</v>
      </c>
      <c r="O293" s="6">
        <f t="shared" si="78"/>
        <v>2.3561643835616439</v>
      </c>
      <c r="P293" s="6">
        <f t="shared" si="79"/>
        <v>40.054794520547944</v>
      </c>
      <c r="Q293" t="str">
        <f t="shared" si="80"/>
        <v>B</v>
      </c>
      <c r="R293" s="6">
        <f t="shared" si="81"/>
        <v>103.6822067666386</v>
      </c>
      <c r="S293" s="6">
        <f t="shared" si="82"/>
        <v>8.2945765413310895</v>
      </c>
      <c r="T293" s="6">
        <f t="shared" si="83"/>
        <v>207.36441353327723</v>
      </c>
      <c r="U293" s="6">
        <f t="shared" si="84"/>
        <v>51.8411033833193</v>
      </c>
      <c r="V293" s="6">
        <f t="shared" si="85"/>
        <v>259.20551691659654</v>
      </c>
      <c r="W293">
        <v>28</v>
      </c>
      <c r="X293" t="str">
        <f t="shared" si="86"/>
        <v>ALERT</v>
      </c>
      <c r="Y293" s="6">
        <f t="shared" si="87"/>
        <v>22</v>
      </c>
      <c r="Z293" s="6">
        <f t="shared" si="88"/>
        <v>44</v>
      </c>
    </row>
    <row r="294" spans="1:26" x14ac:dyDescent="0.3">
      <c r="A294" s="3" t="str">
        <f t="shared" si="72"/>
        <v>SKU293</v>
      </c>
      <c r="B294" s="3">
        <v>891</v>
      </c>
      <c r="C294" s="3">
        <f t="shared" si="74"/>
        <v>1158.3</v>
      </c>
      <c r="D294" s="3">
        <v>42.64</v>
      </c>
      <c r="E294" s="3">
        <v>26</v>
      </c>
      <c r="F294" s="3" t="str" cm="1">
        <f t="array" aca="1" ref="F294" ca="1">INDEX({"Electronics","Clothing","Food","Furniture"}, RANDBETWEEN(1,4))</f>
        <v>Furniture</v>
      </c>
      <c r="G294" s="3">
        <v>50</v>
      </c>
      <c r="H294" s="3">
        <v>2</v>
      </c>
      <c r="I294" s="3">
        <f t="shared" si="73"/>
        <v>37992.239999999998</v>
      </c>
      <c r="J294" s="3">
        <f t="shared" si="89"/>
        <v>25204548.629999984</v>
      </c>
      <c r="K294" s="4">
        <f t="shared" si="75"/>
        <v>0.86482792363337113</v>
      </c>
      <c r="M294" s="6">
        <f t="shared" si="76"/>
        <v>211.06870919205434</v>
      </c>
      <c r="N294" s="6">
        <f t="shared" si="77"/>
        <v>240.65535522817689</v>
      </c>
      <c r="O294" s="6">
        <f t="shared" si="78"/>
        <v>2.441095890410959</v>
      </c>
      <c r="P294" s="6">
        <f t="shared" si="79"/>
        <v>63.468493150684935</v>
      </c>
      <c r="Q294" t="str">
        <f t="shared" si="80"/>
        <v>B</v>
      </c>
      <c r="R294" s="6">
        <f t="shared" si="81"/>
        <v>105.53435459602717</v>
      </c>
      <c r="S294" s="6">
        <f t="shared" si="82"/>
        <v>8.4427483676821726</v>
      </c>
      <c r="T294" s="6">
        <f t="shared" si="83"/>
        <v>211.06870919205431</v>
      </c>
      <c r="U294" s="6">
        <f t="shared" si="84"/>
        <v>52.767177298013586</v>
      </c>
      <c r="V294" s="6">
        <f t="shared" si="85"/>
        <v>263.83588649006788</v>
      </c>
      <c r="W294">
        <v>82</v>
      </c>
      <c r="X294" t="str">
        <f t="shared" si="86"/>
        <v>OK</v>
      </c>
      <c r="Y294" s="6">
        <f t="shared" si="87"/>
        <v>31</v>
      </c>
      <c r="Z294" s="6">
        <f t="shared" si="88"/>
        <v>62</v>
      </c>
    </row>
    <row r="295" spans="1:26" x14ac:dyDescent="0.3">
      <c r="A295" s="3" t="str">
        <f t="shared" si="72"/>
        <v>SKU294</v>
      </c>
      <c r="B295" s="3">
        <v>1190</v>
      </c>
      <c r="C295" s="3">
        <f t="shared" si="74"/>
        <v>1547</v>
      </c>
      <c r="D295" s="3">
        <v>31.68</v>
      </c>
      <c r="E295" s="3">
        <v>17</v>
      </c>
      <c r="F295" s="3" t="str" cm="1">
        <f t="array" aca="1" ref="F295" ca="1">INDEX({"Electronics","Clothing","Food","Furniture"}, RANDBETWEEN(1,4))</f>
        <v>Electronics</v>
      </c>
      <c r="G295" s="3">
        <v>50</v>
      </c>
      <c r="H295" s="3">
        <v>2</v>
      </c>
      <c r="I295" s="3">
        <f t="shared" si="73"/>
        <v>37699.199999999997</v>
      </c>
      <c r="J295" s="3">
        <f t="shared" si="89"/>
        <v>25242247.829999983</v>
      </c>
      <c r="K295" s="4">
        <f t="shared" si="75"/>
        <v>0.86612147271997653</v>
      </c>
      <c r="M295" s="6">
        <f t="shared" si="76"/>
        <v>243.92621835300935</v>
      </c>
      <c r="N295" s="6">
        <f t="shared" si="77"/>
        <v>278.11867970346759</v>
      </c>
      <c r="O295" s="6">
        <f t="shared" si="78"/>
        <v>3.2602739726027399</v>
      </c>
      <c r="P295" s="6">
        <f t="shared" si="79"/>
        <v>55.424657534246577</v>
      </c>
      <c r="Q295" t="str">
        <f t="shared" si="80"/>
        <v>B</v>
      </c>
      <c r="R295" s="6">
        <f t="shared" si="81"/>
        <v>121.96310917650467</v>
      </c>
      <c r="S295" s="6">
        <f t="shared" si="82"/>
        <v>9.7570487341203744</v>
      </c>
      <c r="T295" s="6">
        <f t="shared" si="83"/>
        <v>243.92621835300935</v>
      </c>
      <c r="U295" s="6">
        <f t="shared" si="84"/>
        <v>60.981554588252337</v>
      </c>
      <c r="V295" s="6">
        <f t="shared" si="85"/>
        <v>304.90777294126167</v>
      </c>
      <c r="W295">
        <v>97</v>
      </c>
      <c r="X295" t="str">
        <f t="shared" si="86"/>
        <v>OK</v>
      </c>
      <c r="Y295" s="6">
        <f t="shared" si="87"/>
        <v>22</v>
      </c>
      <c r="Z295" s="6">
        <f t="shared" si="88"/>
        <v>66</v>
      </c>
    </row>
    <row r="296" spans="1:26" x14ac:dyDescent="0.3">
      <c r="A296" s="3" t="str">
        <f t="shared" si="72"/>
        <v>SKU295</v>
      </c>
      <c r="B296" s="3">
        <v>941</v>
      </c>
      <c r="C296" s="3">
        <f t="shared" si="74"/>
        <v>1223.3</v>
      </c>
      <c r="D296" s="3">
        <v>39.700000000000003</v>
      </c>
      <c r="E296" s="3">
        <v>25</v>
      </c>
      <c r="F296" s="3" t="str" cm="1">
        <f t="array" aca="1" ref="F296" ca="1">INDEX({"Electronics","Clothing","Food","Furniture"}, RANDBETWEEN(1,4))</f>
        <v>Clothing</v>
      </c>
      <c r="G296" s="3">
        <v>50</v>
      </c>
      <c r="H296" s="3">
        <v>2</v>
      </c>
      <c r="I296" s="3">
        <f t="shared" si="73"/>
        <v>37357.700000000004</v>
      </c>
      <c r="J296" s="3">
        <f t="shared" si="89"/>
        <v>25279605.529999983</v>
      </c>
      <c r="K296" s="4">
        <f t="shared" si="75"/>
        <v>0.86740330413052846</v>
      </c>
      <c r="M296" s="6">
        <f t="shared" si="76"/>
        <v>216.91011963483862</v>
      </c>
      <c r="N296" s="6">
        <f t="shared" si="77"/>
        <v>247.31558786295699</v>
      </c>
      <c r="O296" s="6">
        <f t="shared" si="78"/>
        <v>2.5780821917808221</v>
      </c>
      <c r="P296" s="6">
        <f t="shared" si="79"/>
        <v>64.452054794520549</v>
      </c>
      <c r="Q296" t="str">
        <f t="shared" si="80"/>
        <v>B</v>
      </c>
      <c r="R296" s="6">
        <f t="shared" si="81"/>
        <v>108.45505981741931</v>
      </c>
      <c r="S296" s="6">
        <f t="shared" si="82"/>
        <v>8.6764047853935438</v>
      </c>
      <c r="T296" s="6">
        <f t="shared" si="83"/>
        <v>216.91011963483859</v>
      </c>
      <c r="U296" s="6">
        <f t="shared" si="84"/>
        <v>54.227529908709656</v>
      </c>
      <c r="V296" s="6">
        <f t="shared" si="85"/>
        <v>271.13764954354826</v>
      </c>
      <c r="W296">
        <v>26</v>
      </c>
      <c r="X296" t="str">
        <f t="shared" si="86"/>
        <v>ALERT</v>
      </c>
      <c r="Y296" s="6">
        <f t="shared" si="87"/>
        <v>30</v>
      </c>
      <c r="Z296" s="6">
        <f t="shared" si="88"/>
        <v>90</v>
      </c>
    </row>
    <row r="297" spans="1:26" x14ac:dyDescent="0.3">
      <c r="A297" s="3" t="str">
        <f t="shared" si="72"/>
        <v>SKU296</v>
      </c>
      <c r="B297" s="3">
        <v>1516</v>
      </c>
      <c r="C297" s="3">
        <f t="shared" si="74"/>
        <v>1970.8</v>
      </c>
      <c r="D297" s="3">
        <v>24.54</v>
      </c>
      <c r="E297" s="3">
        <v>23</v>
      </c>
      <c r="F297" s="3" t="str" cm="1">
        <f t="array" aca="1" ref="F297" ca="1">INDEX({"Electronics","Clothing","Food","Furniture"}, RANDBETWEEN(1,4))</f>
        <v>Food</v>
      </c>
      <c r="G297" s="3">
        <v>50</v>
      </c>
      <c r="H297" s="3">
        <v>2</v>
      </c>
      <c r="I297" s="3">
        <f t="shared" si="73"/>
        <v>37202.639999999999</v>
      </c>
      <c r="J297" s="3">
        <f t="shared" si="89"/>
        <v>25316808.169999983</v>
      </c>
      <c r="K297" s="4">
        <f t="shared" si="75"/>
        <v>0.86867981506421699</v>
      </c>
      <c r="M297" s="6">
        <f t="shared" si="76"/>
        <v>275.31799795872411</v>
      </c>
      <c r="N297" s="6">
        <f t="shared" si="77"/>
        <v>313.91081536003185</v>
      </c>
      <c r="O297" s="6">
        <f t="shared" si="78"/>
        <v>4.1534246575342468</v>
      </c>
      <c r="P297" s="6">
        <f t="shared" si="79"/>
        <v>95.528767123287679</v>
      </c>
      <c r="Q297" t="str">
        <f t="shared" si="80"/>
        <v>B</v>
      </c>
      <c r="R297" s="6">
        <f t="shared" si="81"/>
        <v>137.65899897936205</v>
      </c>
      <c r="S297" s="6">
        <f t="shared" si="82"/>
        <v>11.012719918348962</v>
      </c>
      <c r="T297" s="6">
        <f t="shared" si="83"/>
        <v>275.31799795872405</v>
      </c>
      <c r="U297" s="6">
        <f t="shared" si="84"/>
        <v>68.829499489681027</v>
      </c>
      <c r="V297" s="6">
        <f t="shared" si="85"/>
        <v>344.14749744840509</v>
      </c>
      <c r="W297">
        <v>104</v>
      </c>
      <c r="X297" t="str">
        <f t="shared" si="86"/>
        <v>OK</v>
      </c>
      <c r="Y297" s="6">
        <f t="shared" si="87"/>
        <v>28</v>
      </c>
      <c r="Z297" s="6">
        <f t="shared" si="88"/>
        <v>112</v>
      </c>
    </row>
    <row r="298" spans="1:26" x14ac:dyDescent="0.3">
      <c r="A298" s="3" t="str">
        <f t="shared" si="72"/>
        <v>SKU297</v>
      </c>
      <c r="B298" s="3">
        <v>450</v>
      </c>
      <c r="C298" s="3">
        <f t="shared" si="74"/>
        <v>585</v>
      </c>
      <c r="D298" s="3">
        <v>81.19</v>
      </c>
      <c r="E298" s="3">
        <v>1</v>
      </c>
      <c r="F298" s="3" t="str" cm="1">
        <f t="array" aca="1" ref="F298" ca="1">INDEX({"Electronics","Clothing","Food","Furniture"}, RANDBETWEEN(1,4))</f>
        <v>Clothing</v>
      </c>
      <c r="G298" s="3">
        <v>50</v>
      </c>
      <c r="H298" s="3">
        <v>2</v>
      </c>
      <c r="I298" s="3">
        <f t="shared" si="73"/>
        <v>36535.5</v>
      </c>
      <c r="J298" s="3">
        <f t="shared" si="89"/>
        <v>25353343.669999983</v>
      </c>
      <c r="K298" s="4">
        <f t="shared" si="75"/>
        <v>0.86993343484006569</v>
      </c>
      <c r="M298" s="6">
        <f t="shared" si="76"/>
        <v>150</v>
      </c>
      <c r="N298" s="6">
        <f t="shared" si="77"/>
        <v>171.02631376487071</v>
      </c>
      <c r="O298" s="6">
        <f t="shared" si="78"/>
        <v>1.2328767123287672</v>
      </c>
      <c r="P298" s="6">
        <f t="shared" si="79"/>
        <v>1.2328767123287672</v>
      </c>
      <c r="Q298" t="str">
        <f t="shared" si="80"/>
        <v>B</v>
      </c>
      <c r="R298" s="6">
        <f t="shared" si="81"/>
        <v>75</v>
      </c>
      <c r="S298" s="6">
        <f t="shared" si="82"/>
        <v>6</v>
      </c>
      <c r="T298" s="6">
        <f t="shared" si="83"/>
        <v>150</v>
      </c>
      <c r="U298" s="6">
        <f t="shared" si="84"/>
        <v>37.5</v>
      </c>
      <c r="V298" s="6">
        <f t="shared" si="85"/>
        <v>187.5</v>
      </c>
      <c r="W298">
        <v>0</v>
      </c>
      <c r="X298" t="str">
        <f t="shared" si="86"/>
        <v>ALERT</v>
      </c>
      <c r="Y298" s="6">
        <f t="shared" si="87"/>
        <v>6</v>
      </c>
      <c r="Z298" s="6">
        <f t="shared" si="88"/>
        <v>6</v>
      </c>
    </row>
    <row r="299" spans="1:26" x14ac:dyDescent="0.3">
      <c r="A299" s="3" t="str">
        <f t="shared" si="72"/>
        <v>SKU298</v>
      </c>
      <c r="B299" s="3">
        <v>366</v>
      </c>
      <c r="C299" s="3">
        <f t="shared" si="74"/>
        <v>475.8</v>
      </c>
      <c r="D299" s="3">
        <v>98.24</v>
      </c>
      <c r="E299" s="3">
        <v>9</v>
      </c>
      <c r="F299" s="3" t="str" cm="1">
        <f t="array" aca="1" ref="F299" ca="1">INDEX({"Electronics","Clothing","Food","Furniture"}, RANDBETWEEN(1,4))</f>
        <v>Clothing</v>
      </c>
      <c r="G299" s="3">
        <v>50</v>
      </c>
      <c r="H299" s="3">
        <v>2</v>
      </c>
      <c r="I299" s="3">
        <f t="shared" si="73"/>
        <v>35955.839999999997</v>
      </c>
      <c r="J299" s="3">
        <f t="shared" si="89"/>
        <v>25389299.509999983</v>
      </c>
      <c r="K299" s="4">
        <f t="shared" si="75"/>
        <v>0.8711671651046371</v>
      </c>
      <c r="M299" s="6">
        <f t="shared" si="76"/>
        <v>135.27749258468683</v>
      </c>
      <c r="N299" s="6">
        <f t="shared" si="77"/>
        <v>154.24007261409079</v>
      </c>
      <c r="O299" s="6">
        <f t="shared" si="78"/>
        <v>1.0027397260273974</v>
      </c>
      <c r="P299" s="6">
        <f t="shared" si="79"/>
        <v>9.0246575342465754</v>
      </c>
      <c r="Q299" t="str">
        <f t="shared" si="80"/>
        <v>B</v>
      </c>
      <c r="R299" s="6">
        <f t="shared" si="81"/>
        <v>67.638746292343413</v>
      </c>
      <c r="S299" s="6">
        <f t="shared" si="82"/>
        <v>5.4110997033874737</v>
      </c>
      <c r="T299" s="6">
        <f t="shared" si="83"/>
        <v>135.27749258468685</v>
      </c>
      <c r="U299" s="6">
        <f t="shared" si="84"/>
        <v>33.819373146171706</v>
      </c>
      <c r="V299" s="6">
        <f t="shared" si="85"/>
        <v>169.09686573085855</v>
      </c>
      <c r="W299">
        <v>45</v>
      </c>
      <c r="X299" t="str">
        <f t="shared" si="86"/>
        <v>OK</v>
      </c>
      <c r="Y299" s="6">
        <f t="shared" si="87"/>
        <v>14</v>
      </c>
      <c r="Z299" s="6">
        <f t="shared" si="88"/>
        <v>14</v>
      </c>
    </row>
    <row r="300" spans="1:26" x14ac:dyDescent="0.3">
      <c r="A300" s="3" t="str">
        <f t="shared" si="72"/>
        <v>SKU299</v>
      </c>
      <c r="B300" s="3">
        <v>604</v>
      </c>
      <c r="C300" s="3">
        <f t="shared" si="74"/>
        <v>785.2</v>
      </c>
      <c r="D300" s="3">
        <v>59.52</v>
      </c>
      <c r="E300" s="3">
        <v>23</v>
      </c>
      <c r="F300" s="3" t="str" cm="1">
        <f t="array" aca="1" ref="F300" ca="1">INDEX({"Electronics","Clothing","Food","Furniture"}, RANDBETWEEN(1,4))</f>
        <v>Electronics</v>
      </c>
      <c r="G300" s="3">
        <v>50</v>
      </c>
      <c r="H300" s="3">
        <v>2</v>
      </c>
      <c r="I300" s="3">
        <f t="shared" si="73"/>
        <v>35950.080000000002</v>
      </c>
      <c r="J300" s="3">
        <f t="shared" si="89"/>
        <v>25425249.589999981</v>
      </c>
      <c r="K300" s="4">
        <f t="shared" si="75"/>
        <v>0.87240069772992868</v>
      </c>
      <c r="M300" s="6">
        <f t="shared" si="76"/>
        <v>173.78147196982766</v>
      </c>
      <c r="N300" s="6">
        <f t="shared" si="77"/>
        <v>198.14136367755219</v>
      </c>
      <c r="O300" s="6">
        <f t="shared" si="78"/>
        <v>1.6547945205479453</v>
      </c>
      <c r="P300" s="6">
        <f t="shared" si="79"/>
        <v>38.060273972602744</v>
      </c>
      <c r="Q300" t="str">
        <f t="shared" si="80"/>
        <v>B</v>
      </c>
      <c r="R300" s="6">
        <f t="shared" si="81"/>
        <v>86.890735984913832</v>
      </c>
      <c r="S300" s="6">
        <f t="shared" si="82"/>
        <v>6.9512588787931069</v>
      </c>
      <c r="T300" s="6">
        <f t="shared" si="83"/>
        <v>173.78147196982766</v>
      </c>
      <c r="U300" s="6">
        <f t="shared" si="84"/>
        <v>43.445367992456916</v>
      </c>
      <c r="V300" s="6">
        <f t="shared" si="85"/>
        <v>217.22683996228457</v>
      </c>
      <c r="W300">
        <v>49</v>
      </c>
      <c r="X300" t="str">
        <f t="shared" si="86"/>
        <v>OK</v>
      </c>
      <c r="Y300" s="6">
        <f t="shared" si="87"/>
        <v>28</v>
      </c>
      <c r="Z300" s="6">
        <f t="shared" si="88"/>
        <v>56</v>
      </c>
    </row>
    <row r="301" spans="1:26" x14ac:dyDescent="0.3">
      <c r="A301" s="3" t="str">
        <f t="shared" si="72"/>
        <v>SKU300</v>
      </c>
      <c r="B301" s="3">
        <v>477</v>
      </c>
      <c r="C301" s="3">
        <f t="shared" si="74"/>
        <v>620.1</v>
      </c>
      <c r="D301" s="3">
        <v>74.680000000000007</v>
      </c>
      <c r="E301" s="3">
        <v>9</v>
      </c>
      <c r="F301" s="3" t="str" cm="1">
        <f t="array" aca="1" ref="F301" ca="1">INDEX({"Electronics","Clothing","Food","Furniture"}, RANDBETWEEN(1,4))</f>
        <v>Food</v>
      </c>
      <c r="G301" s="3">
        <v>50</v>
      </c>
      <c r="H301" s="3">
        <v>2</v>
      </c>
      <c r="I301" s="3">
        <f t="shared" si="73"/>
        <v>35622.36</v>
      </c>
      <c r="J301" s="3">
        <f t="shared" si="89"/>
        <v>25460871.949999981</v>
      </c>
      <c r="K301" s="4">
        <f t="shared" si="75"/>
        <v>0.87362298550369388</v>
      </c>
      <c r="M301" s="6">
        <f t="shared" si="76"/>
        <v>154.434452114805</v>
      </c>
      <c r="N301" s="6">
        <f t="shared" si="77"/>
        <v>176.08236708995025</v>
      </c>
      <c r="O301" s="6">
        <f t="shared" si="78"/>
        <v>1.3068493150684932</v>
      </c>
      <c r="P301" s="6">
        <f t="shared" si="79"/>
        <v>11.761643835616439</v>
      </c>
      <c r="Q301" t="str">
        <f t="shared" si="80"/>
        <v>B</v>
      </c>
      <c r="R301" s="6">
        <f t="shared" si="81"/>
        <v>77.217226057402499</v>
      </c>
      <c r="S301" s="6">
        <f t="shared" si="82"/>
        <v>6.1773780845922008</v>
      </c>
      <c r="T301" s="6">
        <f t="shared" si="83"/>
        <v>154.43445211480503</v>
      </c>
      <c r="U301" s="6">
        <f t="shared" si="84"/>
        <v>38.608613028701249</v>
      </c>
      <c r="V301" s="6">
        <f t="shared" si="85"/>
        <v>193.04306514350628</v>
      </c>
      <c r="W301">
        <v>58</v>
      </c>
      <c r="X301" t="str">
        <f t="shared" si="86"/>
        <v>OK</v>
      </c>
      <c r="Y301" s="6">
        <f t="shared" si="87"/>
        <v>14</v>
      </c>
      <c r="Z301" s="6">
        <f t="shared" si="88"/>
        <v>14</v>
      </c>
    </row>
    <row r="302" spans="1:26" x14ac:dyDescent="0.3">
      <c r="A302" s="3" t="str">
        <f t="shared" si="72"/>
        <v>SKU301</v>
      </c>
      <c r="B302" s="3">
        <v>839</v>
      </c>
      <c r="C302" s="3">
        <f t="shared" si="74"/>
        <v>1090.7</v>
      </c>
      <c r="D302" s="3">
        <v>42.3</v>
      </c>
      <c r="E302" s="3">
        <v>7</v>
      </c>
      <c r="F302" s="3" t="str" cm="1">
        <f t="array" aca="1" ref="F302" ca="1">INDEX({"Electronics","Clothing","Food","Furniture"}, RANDBETWEEN(1,4))</f>
        <v>Electronics</v>
      </c>
      <c r="G302" s="3">
        <v>50</v>
      </c>
      <c r="H302" s="3">
        <v>2</v>
      </c>
      <c r="I302" s="3">
        <f t="shared" si="73"/>
        <v>35489.699999999997</v>
      </c>
      <c r="J302" s="3">
        <f t="shared" si="89"/>
        <v>25496361.64999998</v>
      </c>
      <c r="K302" s="4">
        <f t="shared" si="75"/>
        <v>0.87484072139779512</v>
      </c>
      <c r="M302" s="6">
        <f t="shared" si="76"/>
        <v>204.81699148264042</v>
      </c>
      <c r="N302" s="6">
        <f t="shared" si="77"/>
        <v>233.52730033124607</v>
      </c>
      <c r="O302" s="6">
        <f t="shared" si="78"/>
        <v>2.2986301369863016</v>
      </c>
      <c r="P302" s="6">
        <f t="shared" si="79"/>
        <v>16.090410958904112</v>
      </c>
      <c r="Q302" t="str">
        <f t="shared" si="80"/>
        <v>B</v>
      </c>
      <c r="R302" s="6">
        <f t="shared" si="81"/>
        <v>102.40849574132021</v>
      </c>
      <c r="S302" s="6">
        <f t="shared" si="82"/>
        <v>8.1926796593056164</v>
      </c>
      <c r="T302" s="6">
        <f t="shared" si="83"/>
        <v>204.81699148264042</v>
      </c>
      <c r="U302" s="6">
        <f t="shared" si="84"/>
        <v>51.204247870660105</v>
      </c>
      <c r="V302" s="6">
        <f t="shared" si="85"/>
        <v>256.02123935330053</v>
      </c>
      <c r="W302">
        <v>28</v>
      </c>
      <c r="X302" t="str">
        <f t="shared" si="86"/>
        <v>OK</v>
      </c>
      <c r="Y302" s="6">
        <f t="shared" si="87"/>
        <v>12</v>
      </c>
      <c r="Z302" s="6">
        <f t="shared" si="88"/>
        <v>24</v>
      </c>
    </row>
    <row r="303" spans="1:26" x14ac:dyDescent="0.3">
      <c r="A303" s="3" t="str">
        <f t="shared" si="72"/>
        <v>SKU302</v>
      </c>
      <c r="B303" s="3">
        <v>944</v>
      </c>
      <c r="C303" s="3">
        <f t="shared" si="74"/>
        <v>1227.2</v>
      </c>
      <c r="D303" s="3">
        <v>37.54</v>
      </c>
      <c r="E303" s="3">
        <v>18</v>
      </c>
      <c r="F303" s="3" t="str" cm="1">
        <f t="array" aca="1" ref="F303" ca="1">INDEX({"Electronics","Clothing","Food","Furniture"}, RANDBETWEEN(1,4))</f>
        <v>Furniture</v>
      </c>
      <c r="G303" s="3">
        <v>50</v>
      </c>
      <c r="H303" s="3">
        <v>2</v>
      </c>
      <c r="I303" s="3">
        <f t="shared" si="73"/>
        <v>35437.760000000002</v>
      </c>
      <c r="J303" s="3">
        <f t="shared" si="89"/>
        <v>25531799.409999982</v>
      </c>
      <c r="K303" s="4">
        <f t="shared" si="75"/>
        <v>0.87605667510714025</v>
      </c>
      <c r="M303" s="6">
        <f t="shared" si="76"/>
        <v>217.25560982400432</v>
      </c>
      <c r="N303" s="6">
        <f t="shared" si="77"/>
        <v>247.70950728625658</v>
      </c>
      <c r="O303" s="6">
        <f t="shared" si="78"/>
        <v>2.5863013698630137</v>
      </c>
      <c r="P303" s="6">
        <f t="shared" si="79"/>
        <v>46.553424657534251</v>
      </c>
      <c r="Q303" t="str">
        <f t="shared" si="80"/>
        <v>B</v>
      </c>
      <c r="R303" s="6">
        <f t="shared" si="81"/>
        <v>108.62780491200216</v>
      </c>
      <c r="S303" s="6">
        <f t="shared" si="82"/>
        <v>8.6902243929601717</v>
      </c>
      <c r="T303" s="6">
        <f t="shared" si="83"/>
        <v>217.2556098240043</v>
      </c>
      <c r="U303" s="6">
        <f t="shared" si="84"/>
        <v>54.313902456001081</v>
      </c>
      <c r="V303" s="6">
        <f t="shared" si="85"/>
        <v>271.56951228000537</v>
      </c>
      <c r="W303">
        <v>93</v>
      </c>
      <c r="X303" t="str">
        <f t="shared" si="86"/>
        <v>OK</v>
      </c>
      <c r="Y303" s="6">
        <f t="shared" si="87"/>
        <v>23</v>
      </c>
      <c r="Z303" s="6">
        <f t="shared" si="88"/>
        <v>69</v>
      </c>
    </row>
    <row r="304" spans="1:26" x14ac:dyDescent="0.3">
      <c r="A304" s="3" t="str">
        <f t="shared" si="72"/>
        <v>SKU303</v>
      </c>
      <c r="B304" s="3">
        <v>1373</v>
      </c>
      <c r="C304" s="3">
        <f t="shared" si="74"/>
        <v>1784.9</v>
      </c>
      <c r="D304" s="3">
        <v>25.76</v>
      </c>
      <c r="E304" s="3">
        <v>13</v>
      </c>
      <c r="F304" s="3" t="str" cm="1">
        <f t="array" aca="1" ref="F304" ca="1">INDEX({"Electronics","Clothing","Food","Furniture"}, RANDBETWEEN(1,4))</f>
        <v>Furniture</v>
      </c>
      <c r="G304" s="3">
        <v>50</v>
      </c>
      <c r="H304" s="3">
        <v>2</v>
      </c>
      <c r="I304" s="3">
        <f t="shared" si="73"/>
        <v>35368.480000000003</v>
      </c>
      <c r="J304" s="3">
        <f t="shared" si="89"/>
        <v>25567167.889999982</v>
      </c>
      <c r="K304" s="4">
        <f t="shared" si="75"/>
        <v>0.87727025165514716</v>
      </c>
      <c r="M304" s="6">
        <f t="shared" si="76"/>
        <v>262.01145013147806</v>
      </c>
      <c r="N304" s="6">
        <f t="shared" si="77"/>
        <v>298.73901653449957</v>
      </c>
      <c r="O304" s="6">
        <f t="shared" si="78"/>
        <v>3.7616438356164386</v>
      </c>
      <c r="P304" s="6">
        <f t="shared" si="79"/>
        <v>48.901369863013699</v>
      </c>
      <c r="Q304" t="str">
        <f t="shared" si="80"/>
        <v>B</v>
      </c>
      <c r="R304" s="6">
        <f t="shared" si="81"/>
        <v>131.00572506573903</v>
      </c>
      <c r="S304" s="6">
        <f t="shared" si="82"/>
        <v>10.48045800525912</v>
      </c>
      <c r="T304" s="6">
        <f t="shared" si="83"/>
        <v>262.011450131478</v>
      </c>
      <c r="U304" s="6">
        <f t="shared" si="84"/>
        <v>65.502862532869514</v>
      </c>
      <c r="V304" s="6">
        <f t="shared" si="85"/>
        <v>327.51431266434753</v>
      </c>
      <c r="W304">
        <v>83</v>
      </c>
      <c r="X304" t="str">
        <f t="shared" si="86"/>
        <v>OK</v>
      </c>
      <c r="Y304" s="6">
        <f t="shared" si="87"/>
        <v>18</v>
      </c>
      <c r="Z304" s="6">
        <f t="shared" si="88"/>
        <v>72</v>
      </c>
    </row>
    <row r="305" spans="1:26" x14ac:dyDescent="0.3">
      <c r="A305" s="3" t="str">
        <f t="shared" si="72"/>
        <v>SKU304</v>
      </c>
      <c r="B305" s="3">
        <v>355</v>
      </c>
      <c r="C305" s="3">
        <f t="shared" si="74"/>
        <v>461.5</v>
      </c>
      <c r="D305" s="3">
        <v>98.62</v>
      </c>
      <c r="E305" s="3">
        <v>14</v>
      </c>
      <c r="F305" s="3" t="str" cm="1">
        <f t="array" aca="1" ref="F305" ca="1">INDEX({"Electronics","Clothing","Food","Furniture"}, RANDBETWEEN(1,4))</f>
        <v>Furniture</v>
      </c>
      <c r="G305" s="3">
        <v>50</v>
      </c>
      <c r="H305" s="3">
        <v>2</v>
      </c>
      <c r="I305" s="3">
        <f t="shared" si="73"/>
        <v>35010.1</v>
      </c>
      <c r="J305" s="3">
        <f t="shared" si="89"/>
        <v>25602177.989999983</v>
      </c>
      <c r="K305" s="4">
        <f t="shared" si="75"/>
        <v>0.87847153133421119</v>
      </c>
      <c r="M305" s="6">
        <f t="shared" si="76"/>
        <v>133.22912594474226</v>
      </c>
      <c r="N305" s="6">
        <f t="shared" si="77"/>
        <v>151.90457530963312</v>
      </c>
      <c r="O305" s="6">
        <f t="shared" si="78"/>
        <v>0.9726027397260274</v>
      </c>
      <c r="P305" s="6">
        <f t="shared" si="79"/>
        <v>13.616438356164384</v>
      </c>
      <c r="Q305" t="str">
        <f t="shared" si="80"/>
        <v>B</v>
      </c>
      <c r="R305" s="6">
        <f t="shared" si="81"/>
        <v>66.614562972371132</v>
      </c>
      <c r="S305" s="6">
        <f t="shared" si="82"/>
        <v>5.329165037789692</v>
      </c>
      <c r="T305" s="6">
        <f t="shared" si="83"/>
        <v>133.22912594474229</v>
      </c>
      <c r="U305" s="6">
        <f t="shared" si="84"/>
        <v>33.307281486185566</v>
      </c>
      <c r="V305" s="6">
        <f t="shared" si="85"/>
        <v>166.53640743092785</v>
      </c>
      <c r="W305">
        <v>29</v>
      </c>
      <c r="X305" t="str">
        <f t="shared" si="86"/>
        <v>OK</v>
      </c>
      <c r="Y305" s="6">
        <f t="shared" si="87"/>
        <v>19</v>
      </c>
      <c r="Z305" s="6">
        <f t="shared" si="88"/>
        <v>19</v>
      </c>
    </row>
    <row r="306" spans="1:26" x14ac:dyDescent="0.3">
      <c r="A306" s="3" t="str">
        <f t="shared" si="72"/>
        <v>SKU305</v>
      </c>
      <c r="B306" s="3">
        <v>512</v>
      </c>
      <c r="C306" s="3">
        <f t="shared" si="74"/>
        <v>665.6</v>
      </c>
      <c r="D306" s="3">
        <v>68.36</v>
      </c>
      <c r="E306" s="3">
        <v>8</v>
      </c>
      <c r="F306" s="3" t="str" cm="1">
        <f t="array" aca="1" ref="F306" ca="1">INDEX({"Electronics","Clothing","Food","Furniture"}, RANDBETWEEN(1,4))</f>
        <v>Electronics</v>
      </c>
      <c r="G306" s="3">
        <v>50</v>
      </c>
      <c r="H306" s="3">
        <v>2</v>
      </c>
      <c r="I306" s="3">
        <f t="shared" si="73"/>
        <v>35000.32</v>
      </c>
      <c r="J306" s="3">
        <f t="shared" si="89"/>
        <v>25637178.309999984</v>
      </c>
      <c r="K306" s="4">
        <f t="shared" si="75"/>
        <v>0.87967247543824778</v>
      </c>
      <c r="M306" s="6">
        <f t="shared" si="76"/>
        <v>160</v>
      </c>
      <c r="N306" s="6">
        <f t="shared" si="77"/>
        <v>182.42806801586207</v>
      </c>
      <c r="O306" s="6">
        <f t="shared" si="78"/>
        <v>1.4027397260273973</v>
      </c>
      <c r="P306" s="6">
        <f t="shared" si="79"/>
        <v>11.221917808219178</v>
      </c>
      <c r="Q306" t="str">
        <f t="shared" si="80"/>
        <v>B</v>
      </c>
      <c r="R306" s="6">
        <f t="shared" si="81"/>
        <v>80</v>
      </c>
      <c r="S306" s="6">
        <f t="shared" si="82"/>
        <v>6.4</v>
      </c>
      <c r="T306" s="6">
        <f t="shared" si="83"/>
        <v>160</v>
      </c>
      <c r="U306" s="6">
        <f t="shared" si="84"/>
        <v>40</v>
      </c>
      <c r="V306" s="6">
        <f t="shared" si="85"/>
        <v>200</v>
      </c>
      <c r="W306">
        <v>41</v>
      </c>
      <c r="X306" t="str">
        <f t="shared" si="86"/>
        <v>OK</v>
      </c>
      <c r="Y306" s="6">
        <f t="shared" si="87"/>
        <v>13</v>
      </c>
      <c r="Z306" s="6">
        <f t="shared" si="88"/>
        <v>13</v>
      </c>
    </row>
    <row r="307" spans="1:26" x14ac:dyDescent="0.3">
      <c r="A307" s="3" t="str">
        <f t="shared" si="72"/>
        <v>SKU306</v>
      </c>
      <c r="B307" s="3">
        <v>849</v>
      </c>
      <c r="C307" s="3">
        <f t="shared" si="74"/>
        <v>1103.7</v>
      </c>
      <c r="D307" s="3">
        <v>41.06</v>
      </c>
      <c r="E307" s="3">
        <v>16</v>
      </c>
      <c r="F307" s="3" t="str" cm="1">
        <f t="array" aca="1" ref="F307" ca="1">INDEX({"Electronics","Clothing","Food","Furniture"}, RANDBETWEEN(1,4))</f>
        <v>Food</v>
      </c>
      <c r="G307" s="3">
        <v>50</v>
      </c>
      <c r="H307" s="3">
        <v>2</v>
      </c>
      <c r="I307" s="3">
        <f t="shared" si="73"/>
        <v>34859.94</v>
      </c>
      <c r="J307" s="3">
        <f t="shared" si="89"/>
        <v>25672038.249999985</v>
      </c>
      <c r="K307" s="4">
        <f t="shared" si="75"/>
        <v>0.8808686027710857</v>
      </c>
      <c r="M307" s="6">
        <f t="shared" si="76"/>
        <v>206.03397778036515</v>
      </c>
      <c r="N307" s="6">
        <f t="shared" si="77"/>
        <v>234.91487820059419</v>
      </c>
      <c r="O307" s="6">
        <f t="shared" si="78"/>
        <v>2.3260273972602739</v>
      </c>
      <c r="P307" s="6">
        <f t="shared" si="79"/>
        <v>37.216438356164382</v>
      </c>
      <c r="Q307" t="str">
        <f t="shared" si="80"/>
        <v>B</v>
      </c>
      <c r="R307" s="6">
        <f t="shared" si="81"/>
        <v>103.01698889018257</v>
      </c>
      <c r="S307" s="6">
        <f t="shared" si="82"/>
        <v>8.2413591112146065</v>
      </c>
      <c r="T307" s="6">
        <f t="shared" si="83"/>
        <v>206.03397778036515</v>
      </c>
      <c r="U307" s="6">
        <f t="shared" si="84"/>
        <v>51.508494445091287</v>
      </c>
      <c r="V307" s="6">
        <f t="shared" si="85"/>
        <v>257.54247222545644</v>
      </c>
      <c r="W307">
        <v>80</v>
      </c>
      <c r="X307" t="str">
        <f t="shared" si="86"/>
        <v>OK</v>
      </c>
      <c r="Y307" s="6">
        <f t="shared" si="87"/>
        <v>21</v>
      </c>
      <c r="Z307" s="6">
        <f t="shared" si="88"/>
        <v>42</v>
      </c>
    </row>
    <row r="308" spans="1:26" x14ac:dyDescent="0.3">
      <c r="A308" s="3" t="str">
        <f t="shared" si="72"/>
        <v>SKU307</v>
      </c>
      <c r="B308" s="3">
        <v>1235</v>
      </c>
      <c r="C308" s="3">
        <f t="shared" si="74"/>
        <v>1605.5</v>
      </c>
      <c r="D308" s="3">
        <v>28.1</v>
      </c>
      <c r="E308" s="3">
        <v>17</v>
      </c>
      <c r="F308" s="3" t="str" cm="1">
        <f t="array" aca="1" ref="F308" ca="1">INDEX({"Electronics","Clothing","Food","Furniture"}, RANDBETWEEN(1,4))</f>
        <v>Electronics</v>
      </c>
      <c r="G308" s="3">
        <v>50</v>
      </c>
      <c r="H308" s="3">
        <v>2</v>
      </c>
      <c r="I308" s="3">
        <f t="shared" si="73"/>
        <v>34703.5</v>
      </c>
      <c r="J308" s="3">
        <f t="shared" si="89"/>
        <v>25706741.749999985</v>
      </c>
      <c r="K308" s="4">
        <f t="shared" si="75"/>
        <v>0.88205936227598269</v>
      </c>
      <c r="M308" s="6">
        <f t="shared" si="76"/>
        <v>248.49547279578354</v>
      </c>
      <c r="N308" s="6">
        <f t="shared" si="77"/>
        <v>283.32843133014376</v>
      </c>
      <c r="O308" s="6">
        <f t="shared" si="78"/>
        <v>3.3835616438356166</v>
      </c>
      <c r="P308" s="6">
        <f t="shared" si="79"/>
        <v>57.520547945205486</v>
      </c>
      <c r="Q308" t="str">
        <f t="shared" si="80"/>
        <v>B</v>
      </c>
      <c r="R308" s="6">
        <f t="shared" si="81"/>
        <v>124.24773639789177</v>
      </c>
      <c r="S308" s="6">
        <f t="shared" si="82"/>
        <v>9.9398189118313418</v>
      </c>
      <c r="T308" s="6">
        <f t="shared" si="83"/>
        <v>248.49547279578354</v>
      </c>
      <c r="U308" s="6">
        <f t="shared" si="84"/>
        <v>62.123868198945885</v>
      </c>
      <c r="V308" s="6">
        <f t="shared" si="85"/>
        <v>310.61934099472944</v>
      </c>
      <c r="W308">
        <v>42</v>
      </c>
      <c r="X308" t="str">
        <f t="shared" si="86"/>
        <v>ALERT</v>
      </c>
      <c r="Y308" s="6">
        <f t="shared" si="87"/>
        <v>22</v>
      </c>
      <c r="Z308" s="6">
        <f t="shared" si="88"/>
        <v>66</v>
      </c>
    </row>
    <row r="309" spans="1:26" x14ac:dyDescent="0.3">
      <c r="A309" s="3" t="str">
        <f t="shared" si="72"/>
        <v>SKU308</v>
      </c>
      <c r="B309" s="3">
        <v>612</v>
      </c>
      <c r="C309" s="3">
        <f t="shared" si="74"/>
        <v>795.6</v>
      </c>
      <c r="D309" s="3">
        <v>56.68</v>
      </c>
      <c r="E309" s="3">
        <v>9</v>
      </c>
      <c r="F309" s="3" t="str" cm="1">
        <f t="array" aca="1" ref="F309" ca="1">INDEX({"Electronics","Clothing","Food","Furniture"}, RANDBETWEEN(1,4))</f>
        <v>Clothing</v>
      </c>
      <c r="G309" s="3">
        <v>50</v>
      </c>
      <c r="H309" s="3">
        <v>2</v>
      </c>
      <c r="I309" s="3">
        <f t="shared" si="73"/>
        <v>34688.159999999996</v>
      </c>
      <c r="J309" s="3">
        <f t="shared" si="89"/>
        <v>25741429.909999985</v>
      </c>
      <c r="K309" s="4">
        <f t="shared" si="75"/>
        <v>0.88324959542904757</v>
      </c>
      <c r="M309" s="6">
        <f t="shared" si="76"/>
        <v>174.92855684535903</v>
      </c>
      <c r="N309" s="6">
        <f t="shared" si="77"/>
        <v>199.44924166313595</v>
      </c>
      <c r="O309" s="6">
        <f t="shared" si="78"/>
        <v>1.6767123287671233</v>
      </c>
      <c r="P309" s="6">
        <f t="shared" si="79"/>
        <v>15.09041095890411</v>
      </c>
      <c r="Q309" t="str">
        <f t="shared" si="80"/>
        <v>B</v>
      </c>
      <c r="R309" s="6">
        <f t="shared" si="81"/>
        <v>87.464278422679513</v>
      </c>
      <c r="S309" s="6">
        <f t="shared" si="82"/>
        <v>6.9971422738143598</v>
      </c>
      <c r="T309" s="6">
        <f t="shared" si="83"/>
        <v>174.928556845359</v>
      </c>
      <c r="U309" s="6">
        <f t="shared" si="84"/>
        <v>43.732139211339756</v>
      </c>
      <c r="V309" s="6">
        <f t="shared" si="85"/>
        <v>218.66069605669875</v>
      </c>
      <c r="W309">
        <v>23</v>
      </c>
      <c r="X309" t="str">
        <f t="shared" si="86"/>
        <v>OK</v>
      </c>
      <c r="Y309" s="6">
        <f t="shared" si="87"/>
        <v>14</v>
      </c>
      <c r="Z309" s="6">
        <f t="shared" si="88"/>
        <v>28</v>
      </c>
    </row>
    <row r="310" spans="1:26" x14ac:dyDescent="0.3">
      <c r="A310" s="3" t="str">
        <f t="shared" si="72"/>
        <v>SKU309</v>
      </c>
      <c r="B310" s="3">
        <v>1191</v>
      </c>
      <c r="C310" s="3">
        <f t="shared" si="74"/>
        <v>1548.3</v>
      </c>
      <c r="D310" s="3">
        <v>28.97</v>
      </c>
      <c r="E310" s="3">
        <v>16</v>
      </c>
      <c r="F310" s="3" t="str" cm="1">
        <f t="array" aca="1" ref="F310" ca="1">INDEX({"Electronics","Clothing","Food","Furniture"}, RANDBETWEEN(1,4))</f>
        <v>Furniture</v>
      </c>
      <c r="G310" s="3">
        <v>50</v>
      </c>
      <c r="H310" s="3">
        <v>2</v>
      </c>
      <c r="I310" s="3">
        <f t="shared" si="73"/>
        <v>34503.269999999997</v>
      </c>
      <c r="J310" s="3">
        <f t="shared" si="89"/>
        <v>25775933.179999985</v>
      </c>
      <c r="K310" s="4">
        <f t="shared" si="75"/>
        <v>0.88443348456710358</v>
      </c>
      <c r="M310" s="6">
        <f t="shared" si="76"/>
        <v>244.02868683824857</v>
      </c>
      <c r="N310" s="6">
        <f t="shared" si="77"/>
        <v>278.23551175218449</v>
      </c>
      <c r="O310" s="6">
        <f t="shared" si="78"/>
        <v>3.2630136986301368</v>
      </c>
      <c r="P310" s="6">
        <f t="shared" si="79"/>
        <v>52.208219178082189</v>
      </c>
      <c r="Q310" t="str">
        <f t="shared" si="80"/>
        <v>B</v>
      </c>
      <c r="R310" s="6">
        <f t="shared" si="81"/>
        <v>122.01434341912429</v>
      </c>
      <c r="S310" s="6">
        <f t="shared" si="82"/>
        <v>9.7611474735299435</v>
      </c>
      <c r="T310" s="6">
        <f t="shared" si="83"/>
        <v>244.02868683824857</v>
      </c>
      <c r="U310" s="6">
        <f t="shared" si="84"/>
        <v>61.007171709562144</v>
      </c>
      <c r="V310" s="6">
        <f t="shared" si="85"/>
        <v>305.03585854781073</v>
      </c>
      <c r="W310">
        <v>5</v>
      </c>
      <c r="X310" t="str">
        <f t="shared" si="86"/>
        <v>ALERT</v>
      </c>
      <c r="Y310" s="6">
        <f t="shared" si="87"/>
        <v>21</v>
      </c>
      <c r="Z310" s="6">
        <f t="shared" si="88"/>
        <v>63</v>
      </c>
    </row>
    <row r="311" spans="1:26" x14ac:dyDescent="0.3">
      <c r="A311" s="3" t="str">
        <f t="shared" si="72"/>
        <v>SKU310</v>
      </c>
      <c r="B311" s="3">
        <v>430</v>
      </c>
      <c r="C311" s="3">
        <f t="shared" si="74"/>
        <v>559</v>
      </c>
      <c r="D311" s="3">
        <v>79.569999999999993</v>
      </c>
      <c r="E311" s="3">
        <v>29</v>
      </c>
      <c r="F311" s="3" t="str" cm="1">
        <f t="array" aca="1" ref="F311" ca="1">INDEX({"Electronics","Clothing","Food","Furniture"}, RANDBETWEEN(1,4))</f>
        <v>Clothing</v>
      </c>
      <c r="G311" s="3">
        <v>50</v>
      </c>
      <c r="H311" s="3">
        <v>2</v>
      </c>
      <c r="I311" s="3">
        <f t="shared" si="73"/>
        <v>34215.1</v>
      </c>
      <c r="J311" s="3">
        <f t="shared" si="89"/>
        <v>25810148.279999986</v>
      </c>
      <c r="K311" s="4">
        <f t="shared" si="75"/>
        <v>0.88560748590806349</v>
      </c>
      <c r="M311" s="6">
        <f t="shared" si="76"/>
        <v>146.6287829861518</v>
      </c>
      <c r="N311" s="6">
        <f t="shared" si="77"/>
        <v>167.18253497300489</v>
      </c>
      <c r="O311" s="6">
        <f t="shared" si="78"/>
        <v>1.178082191780822</v>
      </c>
      <c r="P311" s="6">
        <f t="shared" si="79"/>
        <v>34.164383561643838</v>
      </c>
      <c r="Q311" t="str">
        <f t="shared" si="80"/>
        <v>B</v>
      </c>
      <c r="R311" s="6">
        <f t="shared" si="81"/>
        <v>73.314391493075902</v>
      </c>
      <c r="S311" s="6">
        <f t="shared" si="82"/>
        <v>5.8651513194460723</v>
      </c>
      <c r="T311" s="6">
        <f t="shared" si="83"/>
        <v>146.6287829861518</v>
      </c>
      <c r="U311" s="6">
        <f t="shared" si="84"/>
        <v>36.657195746537951</v>
      </c>
      <c r="V311" s="6">
        <f t="shared" si="85"/>
        <v>183.28597873268976</v>
      </c>
      <c r="W311">
        <v>38</v>
      </c>
      <c r="X311" t="str">
        <f t="shared" si="86"/>
        <v>OK</v>
      </c>
      <c r="Y311" s="6">
        <f t="shared" si="87"/>
        <v>34</v>
      </c>
      <c r="Z311" s="6">
        <f t="shared" si="88"/>
        <v>34</v>
      </c>
    </row>
    <row r="312" spans="1:26" x14ac:dyDescent="0.3">
      <c r="A312" s="3" t="str">
        <f t="shared" si="72"/>
        <v>SKU311</v>
      </c>
      <c r="B312" s="3">
        <v>1500</v>
      </c>
      <c r="C312" s="3">
        <f t="shared" si="74"/>
        <v>1950</v>
      </c>
      <c r="D312" s="3">
        <v>22.81</v>
      </c>
      <c r="E312" s="3">
        <v>12</v>
      </c>
      <c r="F312" s="3" t="str" cm="1">
        <f t="array" aca="1" ref="F312" ca="1">INDEX({"Electronics","Clothing","Food","Furniture"}, RANDBETWEEN(1,4))</f>
        <v>Electronics</v>
      </c>
      <c r="G312" s="3">
        <v>50</v>
      </c>
      <c r="H312" s="3">
        <v>2</v>
      </c>
      <c r="I312" s="3">
        <f t="shared" si="73"/>
        <v>34215</v>
      </c>
      <c r="J312" s="3">
        <f t="shared" si="89"/>
        <v>25844363.279999986</v>
      </c>
      <c r="K312" s="4">
        <f t="shared" si="75"/>
        <v>0.88678148381778588</v>
      </c>
      <c r="M312" s="6">
        <f t="shared" si="76"/>
        <v>273.86127875258308</v>
      </c>
      <c r="N312" s="6">
        <f t="shared" si="77"/>
        <v>312.24989991991993</v>
      </c>
      <c r="O312" s="6">
        <f t="shared" si="78"/>
        <v>4.1095890410958908</v>
      </c>
      <c r="P312" s="6">
        <f t="shared" si="79"/>
        <v>49.31506849315069</v>
      </c>
      <c r="Q312" t="str">
        <f t="shared" si="80"/>
        <v>B</v>
      </c>
      <c r="R312" s="6">
        <f t="shared" si="81"/>
        <v>136.93063937629154</v>
      </c>
      <c r="S312" s="6">
        <f t="shared" si="82"/>
        <v>10.954451150103322</v>
      </c>
      <c r="T312" s="6">
        <f t="shared" si="83"/>
        <v>273.86127875258308</v>
      </c>
      <c r="U312" s="6">
        <f t="shared" si="84"/>
        <v>68.465319688145769</v>
      </c>
      <c r="V312" s="6">
        <f t="shared" si="85"/>
        <v>342.32659844072884</v>
      </c>
      <c r="W312">
        <v>74</v>
      </c>
      <c r="X312" t="str">
        <f t="shared" si="86"/>
        <v>OK</v>
      </c>
      <c r="Y312" s="6">
        <f t="shared" si="87"/>
        <v>17</v>
      </c>
      <c r="Z312" s="6">
        <f t="shared" si="88"/>
        <v>68</v>
      </c>
    </row>
    <row r="313" spans="1:26" x14ac:dyDescent="0.3">
      <c r="A313" s="3" t="str">
        <f t="shared" si="72"/>
        <v>SKU312</v>
      </c>
      <c r="B313" s="3">
        <v>1380</v>
      </c>
      <c r="C313" s="3">
        <f t="shared" si="74"/>
        <v>1794</v>
      </c>
      <c r="D313" s="3">
        <v>24.6</v>
      </c>
      <c r="E313" s="3">
        <v>6</v>
      </c>
      <c r="F313" s="3" t="str" cm="1">
        <f t="array" aca="1" ref="F313" ca="1">INDEX({"Electronics","Clothing","Food","Furniture"}, RANDBETWEEN(1,4))</f>
        <v>Clothing</v>
      </c>
      <c r="G313" s="3">
        <v>50</v>
      </c>
      <c r="H313" s="3">
        <v>2</v>
      </c>
      <c r="I313" s="3">
        <f t="shared" si="73"/>
        <v>33948</v>
      </c>
      <c r="J313" s="3">
        <f t="shared" si="89"/>
        <v>25878311.279999986</v>
      </c>
      <c r="K313" s="4">
        <f t="shared" si="75"/>
        <v>0.88794632032339027</v>
      </c>
      <c r="M313" s="6">
        <f t="shared" si="76"/>
        <v>262.67851073127395</v>
      </c>
      <c r="N313" s="6">
        <f t="shared" si="77"/>
        <v>299.49958263743872</v>
      </c>
      <c r="O313" s="6">
        <f t="shared" si="78"/>
        <v>3.7808219178082192</v>
      </c>
      <c r="P313" s="6">
        <f t="shared" si="79"/>
        <v>22.684931506849317</v>
      </c>
      <c r="Q313" t="str">
        <f t="shared" si="80"/>
        <v>B</v>
      </c>
      <c r="R313" s="6">
        <f t="shared" si="81"/>
        <v>131.33925536563697</v>
      </c>
      <c r="S313" s="6">
        <f t="shared" si="82"/>
        <v>10.507140429250958</v>
      </c>
      <c r="T313" s="6">
        <f t="shared" si="83"/>
        <v>262.67851073127395</v>
      </c>
      <c r="U313" s="6">
        <f t="shared" si="84"/>
        <v>65.669627682818486</v>
      </c>
      <c r="V313" s="6">
        <f t="shared" si="85"/>
        <v>328.34813841409243</v>
      </c>
      <c r="W313">
        <v>26</v>
      </c>
      <c r="X313" t="str">
        <f t="shared" si="86"/>
        <v>OK</v>
      </c>
      <c r="Y313" s="6">
        <f t="shared" si="87"/>
        <v>11</v>
      </c>
      <c r="Z313" s="6">
        <f t="shared" si="88"/>
        <v>44</v>
      </c>
    </row>
    <row r="314" spans="1:26" x14ac:dyDescent="0.3">
      <c r="A314" s="3" t="str">
        <f t="shared" si="72"/>
        <v>SKU313</v>
      </c>
      <c r="B314" s="3">
        <v>1236</v>
      </c>
      <c r="C314" s="3">
        <f t="shared" si="74"/>
        <v>1606.8</v>
      </c>
      <c r="D314" s="3">
        <v>27.36</v>
      </c>
      <c r="E314" s="3">
        <v>16</v>
      </c>
      <c r="F314" s="3" t="str" cm="1">
        <f t="array" aca="1" ref="F314" ca="1">INDEX({"Electronics","Clothing","Food","Furniture"}, RANDBETWEEN(1,4))</f>
        <v>Electronics</v>
      </c>
      <c r="G314" s="3">
        <v>50</v>
      </c>
      <c r="H314" s="3">
        <v>2</v>
      </c>
      <c r="I314" s="3">
        <f t="shared" si="73"/>
        <v>33816.959999999999</v>
      </c>
      <c r="J314" s="3">
        <f t="shared" si="89"/>
        <v>25912128.239999987</v>
      </c>
      <c r="K314" s="4">
        <f t="shared" si="75"/>
        <v>0.88910666053537823</v>
      </c>
      <c r="M314" s="6">
        <f t="shared" si="76"/>
        <v>248.59605789312107</v>
      </c>
      <c r="N314" s="6">
        <f t="shared" si="77"/>
        <v>283.44311598625922</v>
      </c>
      <c r="O314" s="6">
        <f t="shared" si="78"/>
        <v>3.3863013698630136</v>
      </c>
      <c r="P314" s="6">
        <f t="shared" si="79"/>
        <v>54.180821917808217</v>
      </c>
      <c r="Q314" t="str">
        <f t="shared" si="80"/>
        <v>B</v>
      </c>
      <c r="R314" s="6">
        <f t="shared" si="81"/>
        <v>124.29802894656054</v>
      </c>
      <c r="S314" s="6">
        <f t="shared" si="82"/>
        <v>9.9438423157248419</v>
      </c>
      <c r="T314" s="6">
        <f t="shared" si="83"/>
        <v>248.59605789312104</v>
      </c>
      <c r="U314" s="6">
        <f t="shared" si="84"/>
        <v>62.149014473280268</v>
      </c>
      <c r="V314" s="6">
        <f t="shared" si="85"/>
        <v>310.7450723664013</v>
      </c>
      <c r="W314">
        <v>43</v>
      </c>
      <c r="X314" t="str">
        <f t="shared" si="86"/>
        <v>ALERT</v>
      </c>
      <c r="Y314" s="6">
        <f t="shared" si="87"/>
        <v>21</v>
      </c>
      <c r="Z314" s="6">
        <f t="shared" si="88"/>
        <v>63</v>
      </c>
    </row>
    <row r="315" spans="1:26" x14ac:dyDescent="0.3">
      <c r="A315" s="3" t="str">
        <f t="shared" si="72"/>
        <v>SKU314</v>
      </c>
      <c r="B315" s="3">
        <v>1318</v>
      </c>
      <c r="C315" s="3">
        <f t="shared" si="74"/>
        <v>1713.4</v>
      </c>
      <c r="D315" s="3">
        <v>25.64</v>
      </c>
      <c r="E315" s="3">
        <v>28</v>
      </c>
      <c r="F315" s="3" t="str" cm="1">
        <f t="array" aca="1" ref="F315" ca="1">INDEX({"Electronics","Clothing","Food","Furniture"}, RANDBETWEEN(1,4))</f>
        <v>Food</v>
      </c>
      <c r="G315" s="3">
        <v>50</v>
      </c>
      <c r="H315" s="3">
        <v>2</v>
      </c>
      <c r="I315" s="3">
        <f t="shared" si="73"/>
        <v>33793.520000000004</v>
      </c>
      <c r="J315" s="3">
        <f t="shared" si="89"/>
        <v>25945921.759999987</v>
      </c>
      <c r="K315" s="4">
        <f t="shared" si="75"/>
        <v>0.8902661964652967</v>
      </c>
      <c r="M315" s="6">
        <f t="shared" si="76"/>
        <v>256.70995305986872</v>
      </c>
      <c r="N315" s="6">
        <f t="shared" si="77"/>
        <v>292.69437985721555</v>
      </c>
      <c r="O315" s="6">
        <f t="shared" si="78"/>
        <v>3.6109589041095891</v>
      </c>
      <c r="P315" s="6">
        <f t="shared" si="79"/>
        <v>101.1068493150685</v>
      </c>
      <c r="Q315" t="str">
        <f t="shared" si="80"/>
        <v>B</v>
      </c>
      <c r="R315" s="6">
        <f t="shared" si="81"/>
        <v>128.35497652993436</v>
      </c>
      <c r="S315" s="6">
        <f t="shared" si="82"/>
        <v>10.268398122394748</v>
      </c>
      <c r="T315" s="6">
        <f t="shared" si="83"/>
        <v>256.70995305986872</v>
      </c>
      <c r="U315" s="6">
        <f t="shared" si="84"/>
        <v>64.177488264967181</v>
      </c>
      <c r="V315" s="6">
        <f t="shared" si="85"/>
        <v>320.88744132483589</v>
      </c>
      <c r="W315">
        <v>118</v>
      </c>
      <c r="X315" t="str">
        <f t="shared" si="86"/>
        <v>OK</v>
      </c>
      <c r="Y315" s="6">
        <f t="shared" si="87"/>
        <v>33</v>
      </c>
      <c r="Z315" s="6">
        <f t="shared" si="88"/>
        <v>132</v>
      </c>
    </row>
    <row r="316" spans="1:26" x14ac:dyDescent="0.3">
      <c r="A316" s="3" t="str">
        <f t="shared" si="72"/>
        <v>SKU315</v>
      </c>
      <c r="B316" s="3">
        <v>916</v>
      </c>
      <c r="C316" s="3">
        <f t="shared" si="74"/>
        <v>1190.8</v>
      </c>
      <c r="D316" s="3">
        <v>36.880000000000003</v>
      </c>
      <c r="E316" s="3">
        <v>8</v>
      </c>
      <c r="F316" s="3" t="str" cm="1">
        <f t="array" aca="1" ref="F316" ca="1">INDEX({"Electronics","Clothing","Food","Furniture"}, RANDBETWEEN(1,4))</f>
        <v>Food</v>
      </c>
      <c r="G316" s="3">
        <v>50</v>
      </c>
      <c r="H316" s="3">
        <v>2</v>
      </c>
      <c r="I316" s="3">
        <f t="shared" si="73"/>
        <v>33782.080000000002</v>
      </c>
      <c r="J316" s="3">
        <f t="shared" si="89"/>
        <v>25979703.839999985</v>
      </c>
      <c r="K316" s="4">
        <f t="shared" si="75"/>
        <v>0.8914253398616454</v>
      </c>
      <c r="M316" s="6">
        <f t="shared" si="76"/>
        <v>214.00934559032697</v>
      </c>
      <c r="N316" s="6">
        <f t="shared" si="77"/>
        <v>244.00819658363937</v>
      </c>
      <c r="O316" s="6">
        <f t="shared" si="78"/>
        <v>2.5095890410958903</v>
      </c>
      <c r="P316" s="6">
        <f t="shared" si="79"/>
        <v>20.076712328767123</v>
      </c>
      <c r="Q316" t="str">
        <f t="shared" si="80"/>
        <v>B</v>
      </c>
      <c r="R316" s="6">
        <f t="shared" si="81"/>
        <v>107.00467279516349</v>
      </c>
      <c r="S316" s="6">
        <f t="shared" si="82"/>
        <v>8.5603738236130784</v>
      </c>
      <c r="T316" s="6">
        <f t="shared" si="83"/>
        <v>214.00934559032697</v>
      </c>
      <c r="U316" s="6">
        <f t="shared" si="84"/>
        <v>53.502336397581743</v>
      </c>
      <c r="V316" s="6">
        <f t="shared" si="85"/>
        <v>267.51168198790873</v>
      </c>
      <c r="W316">
        <v>3</v>
      </c>
      <c r="X316" t="str">
        <f t="shared" si="86"/>
        <v>ALERT</v>
      </c>
      <c r="Y316" s="6">
        <f t="shared" si="87"/>
        <v>13</v>
      </c>
      <c r="Z316" s="6">
        <f t="shared" si="88"/>
        <v>39</v>
      </c>
    </row>
    <row r="317" spans="1:26" x14ac:dyDescent="0.3">
      <c r="A317" s="3" t="str">
        <f t="shared" si="72"/>
        <v>SKU316</v>
      </c>
      <c r="B317" s="3">
        <v>1021</v>
      </c>
      <c r="C317" s="3">
        <f t="shared" si="74"/>
        <v>1327.3</v>
      </c>
      <c r="D317" s="3">
        <v>32.92</v>
      </c>
      <c r="E317" s="3">
        <v>20</v>
      </c>
      <c r="F317" s="3" t="str" cm="1">
        <f t="array" aca="1" ref="F317" ca="1">INDEX({"Electronics","Clothing","Food","Furniture"}, RANDBETWEEN(1,4))</f>
        <v>Furniture</v>
      </c>
      <c r="G317" s="3">
        <v>50</v>
      </c>
      <c r="H317" s="3">
        <v>2</v>
      </c>
      <c r="I317" s="3">
        <f t="shared" si="73"/>
        <v>33611.32</v>
      </c>
      <c r="J317" s="3">
        <f t="shared" si="89"/>
        <v>26013315.159999985</v>
      </c>
      <c r="K317" s="4">
        <f t="shared" si="75"/>
        <v>0.89257862407684374</v>
      </c>
      <c r="M317" s="6">
        <f t="shared" si="76"/>
        <v>225.94247055390008</v>
      </c>
      <c r="N317" s="6">
        <f t="shared" si="77"/>
        <v>257.61405241174248</v>
      </c>
      <c r="O317" s="6">
        <f t="shared" si="78"/>
        <v>2.7972602739726029</v>
      </c>
      <c r="P317" s="6">
        <f t="shared" si="79"/>
        <v>55.945205479452056</v>
      </c>
      <c r="Q317" t="str">
        <f t="shared" si="80"/>
        <v>B</v>
      </c>
      <c r="R317" s="6">
        <f t="shared" si="81"/>
        <v>112.97123527695004</v>
      </c>
      <c r="S317" s="6">
        <f t="shared" si="82"/>
        <v>9.0376988221560026</v>
      </c>
      <c r="T317" s="6">
        <f t="shared" si="83"/>
        <v>225.94247055390008</v>
      </c>
      <c r="U317" s="6">
        <f t="shared" si="84"/>
        <v>56.48561763847502</v>
      </c>
      <c r="V317" s="6">
        <f t="shared" si="85"/>
        <v>282.42808819237507</v>
      </c>
      <c r="W317">
        <v>105</v>
      </c>
      <c r="X317" t="str">
        <f t="shared" si="86"/>
        <v>OK</v>
      </c>
      <c r="Y317" s="6">
        <f t="shared" si="87"/>
        <v>25</v>
      </c>
      <c r="Z317" s="6">
        <f t="shared" si="88"/>
        <v>75</v>
      </c>
    </row>
    <row r="318" spans="1:26" x14ac:dyDescent="0.3">
      <c r="A318" s="3" t="str">
        <f t="shared" si="72"/>
        <v>SKU317</v>
      </c>
      <c r="B318" s="3">
        <v>967</v>
      </c>
      <c r="C318" s="3">
        <f t="shared" si="74"/>
        <v>1257.1000000000001</v>
      </c>
      <c r="D318" s="3">
        <v>34.51</v>
      </c>
      <c r="E318" s="3">
        <v>15</v>
      </c>
      <c r="F318" s="3" t="str" cm="1">
        <f t="array" aca="1" ref="F318" ca="1">INDEX({"Electronics","Clothing","Food","Furniture"}, RANDBETWEEN(1,4))</f>
        <v>Electronics</v>
      </c>
      <c r="G318" s="3">
        <v>50</v>
      </c>
      <c r="H318" s="3">
        <v>2</v>
      </c>
      <c r="I318" s="3">
        <f t="shared" si="73"/>
        <v>33371.17</v>
      </c>
      <c r="J318" s="3">
        <f t="shared" si="89"/>
        <v>26046686.329999987</v>
      </c>
      <c r="K318" s="4">
        <f t="shared" si="75"/>
        <v>0.89372366817519211</v>
      </c>
      <c r="M318" s="6">
        <f t="shared" si="76"/>
        <v>219.88633427296023</v>
      </c>
      <c r="N318" s="6">
        <f t="shared" si="77"/>
        <v>250.70899465316359</v>
      </c>
      <c r="O318" s="6">
        <f t="shared" si="78"/>
        <v>2.6493150684931508</v>
      </c>
      <c r="P318" s="6">
        <f t="shared" si="79"/>
        <v>39.739726027397261</v>
      </c>
      <c r="Q318" t="str">
        <f t="shared" si="80"/>
        <v>B</v>
      </c>
      <c r="R318" s="6">
        <f t="shared" si="81"/>
        <v>109.94316713648011</v>
      </c>
      <c r="S318" s="6">
        <f t="shared" si="82"/>
        <v>8.7954533709184091</v>
      </c>
      <c r="T318" s="6">
        <f t="shared" si="83"/>
        <v>219.88633427296023</v>
      </c>
      <c r="U318" s="6">
        <f t="shared" si="84"/>
        <v>54.971583568240057</v>
      </c>
      <c r="V318" s="6">
        <f t="shared" si="85"/>
        <v>274.85791784120028</v>
      </c>
      <c r="W318">
        <v>30</v>
      </c>
      <c r="X318" t="str">
        <f t="shared" si="86"/>
        <v>ALERT</v>
      </c>
      <c r="Y318" s="6">
        <f t="shared" si="87"/>
        <v>20</v>
      </c>
      <c r="Z318" s="6">
        <f t="shared" si="88"/>
        <v>60</v>
      </c>
    </row>
    <row r="319" spans="1:26" x14ac:dyDescent="0.3">
      <c r="A319" s="3" t="str">
        <f t="shared" si="72"/>
        <v>SKU318</v>
      </c>
      <c r="B319" s="3">
        <v>513</v>
      </c>
      <c r="C319" s="3">
        <f t="shared" si="74"/>
        <v>666.9</v>
      </c>
      <c r="D319" s="3">
        <v>63.7</v>
      </c>
      <c r="E319" s="3">
        <v>27</v>
      </c>
      <c r="F319" s="3" t="str" cm="1">
        <f t="array" aca="1" ref="F319" ca="1">INDEX({"Electronics","Clothing","Food","Furniture"}, RANDBETWEEN(1,4))</f>
        <v>Furniture</v>
      </c>
      <c r="G319" s="3">
        <v>50</v>
      </c>
      <c r="H319" s="3">
        <v>2</v>
      </c>
      <c r="I319" s="3">
        <f t="shared" si="73"/>
        <v>32678.100000000002</v>
      </c>
      <c r="J319" s="3">
        <f t="shared" si="89"/>
        <v>26079364.429999989</v>
      </c>
      <c r="K319" s="4">
        <f t="shared" si="75"/>
        <v>0.89484493139581756</v>
      </c>
      <c r="M319" s="6">
        <f t="shared" si="76"/>
        <v>160.15617378046966</v>
      </c>
      <c r="N319" s="6">
        <f t="shared" si="77"/>
        <v>182.60613352239841</v>
      </c>
      <c r="O319" s="6">
        <f t="shared" si="78"/>
        <v>1.4054794520547946</v>
      </c>
      <c r="P319" s="6">
        <f t="shared" si="79"/>
        <v>37.947945205479456</v>
      </c>
      <c r="Q319" t="str">
        <f t="shared" si="80"/>
        <v>B</v>
      </c>
      <c r="R319" s="6">
        <f t="shared" si="81"/>
        <v>80.078086890234829</v>
      </c>
      <c r="S319" s="6">
        <f t="shared" si="82"/>
        <v>6.4062469512187867</v>
      </c>
      <c r="T319" s="6">
        <f t="shared" si="83"/>
        <v>160.15617378046966</v>
      </c>
      <c r="U319" s="6">
        <f t="shared" si="84"/>
        <v>40.039043445117414</v>
      </c>
      <c r="V319" s="6">
        <f t="shared" si="85"/>
        <v>200.19521722558707</v>
      </c>
      <c r="W319">
        <v>63</v>
      </c>
      <c r="X319" t="str">
        <f t="shared" si="86"/>
        <v>OK</v>
      </c>
      <c r="Y319" s="6">
        <f t="shared" si="87"/>
        <v>32</v>
      </c>
      <c r="Z319" s="6">
        <f t="shared" si="88"/>
        <v>32</v>
      </c>
    </row>
    <row r="320" spans="1:26" x14ac:dyDescent="0.3">
      <c r="A320" s="3" t="str">
        <f t="shared" si="72"/>
        <v>SKU319</v>
      </c>
      <c r="B320" s="3">
        <v>1018</v>
      </c>
      <c r="C320" s="3">
        <f t="shared" si="74"/>
        <v>1323.4</v>
      </c>
      <c r="D320" s="3">
        <v>32.07</v>
      </c>
      <c r="E320" s="3">
        <v>19</v>
      </c>
      <c r="F320" s="3" t="str" cm="1">
        <f t="array" aca="1" ref="F320" ca="1">INDEX({"Electronics","Clothing","Food","Furniture"}, RANDBETWEEN(1,4))</f>
        <v>Electronics</v>
      </c>
      <c r="G320" s="3">
        <v>50</v>
      </c>
      <c r="H320" s="3">
        <v>2</v>
      </c>
      <c r="I320" s="3">
        <f t="shared" si="73"/>
        <v>32647.260000000002</v>
      </c>
      <c r="J320" s="3">
        <f t="shared" si="89"/>
        <v>26112011.68999999</v>
      </c>
      <c r="K320" s="4">
        <f t="shared" si="75"/>
        <v>0.89596513642279885</v>
      </c>
      <c r="M320" s="6">
        <f t="shared" si="76"/>
        <v>225.61028345356956</v>
      </c>
      <c r="N320" s="6">
        <f t="shared" si="77"/>
        <v>257.2353008434107</v>
      </c>
      <c r="O320" s="6">
        <f t="shared" si="78"/>
        <v>2.7890410958904108</v>
      </c>
      <c r="P320" s="6">
        <f t="shared" si="79"/>
        <v>52.991780821917807</v>
      </c>
      <c r="Q320" t="str">
        <f t="shared" si="80"/>
        <v>B</v>
      </c>
      <c r="R320" s="6">
        <f t="shared" si="81"/>
        <v>112.80514172678478</v>
      </c>
      <c r="S320" s="6">
        <f t="shared" si="82"/>
        <v>9.024411338142782</v>
      </c>
      <c r="T320" s="6">
        <f t="shared" si="83"/>
        <v>225.61028345356954</v>
      </c>
      <c r="U320" s="6">
        <f t="shared" si="84"/>
        <v>56.402570863392391</v>
      </c>
      <c r="V320" s="6">
        <f t="shared" si="85"/>
        <v>282.01285431696192</v>
      </c>
      <c r="W320">
        <v>97</v>
      </c>
      <c r="X320" t="str">
        <f t="shared" si="86"/>
        <v>OK</v>
      </c>
      <c r="Y320" s="6">
        <f t="shared" si="87"/>
        <v>24</v>
      </c>
      <c r="Z320" s="6">
        <f t="shared" si="88"/>
        <v>72</v>
      </c>
    </row>
    <row r="321" spans="1:26" x14ac:dyDescent="0.3">
      <c r="A321" s="3" t="str">
        <f t="shared" si="72"/>
        <v>SKU320</v>
      </c>
      <c r="B321" s="3">
        <v>455</v>
      </c>
      <c r="C321" s="3">
        <f t="shared" si="74"/>
        <v>591.5</v>
      </c>
      <c r="D321" s="3">
        <v>71.19</v>
      </c>
      <c r="E321" s="3">
        <v>1</v>
      </c>
      <c r="F321" s="3" t="str" cm="1">
        <f t="array" aca="1" ref="F321" ca="1">INDEX({"Electronics","Clothing","Food","Furniture"}, RANDBETWEEN(1,4))</f>
        <v>Clothing</v>
      </c>
      <c r="G321" s="3">
        <v>50</v>
      </c>
      <c r="H321" s="3">
        <v>2</v>
      </c>
      <c r="I321" s="3">
        <f t="shared" si="73"/>
        <v>32391.45</v>
      </c>
      <c r="J321" s="3">
        <f t="shared" si="89"/>
        <v>26144403.139999989</v>
      </c>
      <c r="K321" s="4">
        <f t="shared" si="75"/>
        <v>0.89707656400113811</v>
      </c>
      <c r="M321" s="6">
        <f t="shared" si="76"/>
        <v>150.83103128998357</v>
      </c>
      <c r="N321" s="6">
        <f t="shared" si="77"/>
        <v>171.97383521919838</v>
      </c>
      <c r="O321" s="6">
        <f t="shared" si="78"/>
        <v>1.2465753424657535</v>
      </c>
      <c r="P321" s="6">
        <f t="shared" si="79"/>
        <v>1.2465753424657535</v>
      </c>
      <c r="Q321" t="str">
        <f t="shared" si="80"/>
        <v>B</v>
      </c>
      <c r="R321" s="6">
        <f t="shared" si="81"/>
        <v>75.415515644991785</v>
      </c>
      <c r="S321" s="6">
        <f t="shared" si="82"/>
        <v>6.0332412515993417</v>
      </c>
      <c r="T321" s="6">
        <f t="shared" si="83"/>
        <v>150.83103128998354</v>
      </c>
      <c r="U321" s="6">
        <f t="shared" si="84"/>
        <v>37.707757822495893</v>
      </c>
      <c r="V321" s="6">
        <f t="shared" si="85"/>
        <v>188.53878911247944</v>
      </c>
      <c r="W321">
        <v>30</v>
      </c>
      <c r="X321" t="str">
        <f t="shared" si="86"/>
        <v>OK</v>
      </c>
      <c r="Y321" s="6">
        <f t="shared" si="87"/>
        <v>6</v>
      </c>
      <c r="Z321" s="6">
        <f t="shared" si="88"/>
        <v>6</v>
      </c>
    </row>
    <row r="322" spans="1:26" x14ac:dyDescent="0.3">
      <c r="A322" s="3" t="str">
        <f t="shared" ref="A322:A385" si="90">"SKU" &amp; TEXT(ROW()-1, "000")</f>
        <v>SKU321</v>
      </c>
      <c r="B322" s="3">
        <v>655</v>
      </c>
      <c r="C322" s="3">
        <f t="shared" si="74"/>
        <v>851.5</v>
      </c>
      <c r="D322" s="3">
        <v>49.27</v>
      </c>
      <c r="E322" s="3">
        <v>25</v>
      </c>
      <c r="F322" s="3" t="str" cm="1">
        <f t="array" aca="1" ref="F322" ca="1">INDEX({"Electronics","Clothing","Food","Furniture"}, RANDBETWEEN(1,4))</f>
        <v>Electronics</v>
      </c>
      <c r="G322" s="3">
        <v>50</v>
      </c>
      <c r="H322" s="3">
        <v>2</v>
      </c>
      <c r="I322" s="3">
        <f t="shared" ref="I322:I385" si="91">B322*D322</f>
        <v>32271.850000000002</v>
      </c>
      <c r="J322" s="3">
        <f t="shared" si="89"/>
        <v>26176674.989999991</v>
      </c>
      <c r="K322" s="4">
        <f t="shared" si="75"/>
        <v>0.89818388781943048</v>
      </c>
      <c r="M322" s="6">
        <f t="shared" si="76"/>
        <v>180.96961070853857</v>
      </c>
      <c r="N322" s="6">
        <f t="shared" si="77"/>
        <v>206.33710281963349</v>
      </c>
      <c r="O322" s="6">
        <f t="shared" si="78"/>
        <v>1.7945205479452055</v>
      </c>
      <c r="P322" s="6">
        <f t="shared" si="79"/>
        <v>44.863013698630141</v>
      </c>
      <c r="Q322" t="str">
        <f t="shared" si="80"/>
        <v>B</v>
      </c>
      <c r="R322" s="6">
        <f t="shared" si="81"/>
        <v>90.484805354269284</v>
      </c>
      <c r="S322" s="6">
        <f t="shared" si="82"/>
        <v>7.2387844283415435</v>
      </c>
      <c r="T322" s="6">
        <f t="shared" si="83"/>
        <v>180.9696107085386</v>
      </c>
      <c r="U322" s="6">
        <f t="shared" si="84"/>
        <v>45.242402677134642</v>
      </c>
      <c r="V322" s="6">
        <f t="shared" si="85"/>
        <v>226.21201338567323</v>
      </c>
      <c r="W322">
        <v>70</v>
      </c>
      <c r="X322" t="str">
        <f t="shared" si="86"/>
        <v>OK</v>
      </c>
      <c r="Y322" s="6">
        <f t="shared" si="87"/>
        <v>30</v>
      </c>
      <c r="Z322" s="6">
        <f t="shared" si="88"/>
        <v>60</v>
      </c>
    </row>
    <row r="323" spans="1:26" x14ac:dyDescent="0.3">
      <c r="A323" s="3" t="str">
        <f t="shared" si="90"/>
        <v>SKU322</v>
      </c>
      <c r="B323" s="3">
        <v>1555</v>
      </c>
      <c r="C323" s="3">
        <f t="shared" ref="C323:C386" si="92">B323 * 1.3</f>
        <v>2021.5</v>
      </c>
      <c r="D323" s="3">
        <v>20.63</v>
      </c>
      <c r="E323" s="3">
        <v>5</v>
      </c>
      <c r="F323" s="3" t="str" cm="1">
        <f t="array" aca="1" ref="F323" ca="1">INDEX({"Electronics","Clothing","Food","Furniture"}, RANDBETWEEN(1,4))</f>
        <v>Clothing</v>
      </c>
      <c r="G323" s="3">
        <v>50</v>
      </c>
      <c r="H323" s="3">
        <v>2</v>
      </c>
      <c r="I323" s="3">
        <f t="shared" si="91"/>
        <v>32079.649999999998</v>
      </c>
      <c r="J323" s="3">
        <f t="shared" si="89"/>
        <v>26208754.639999989</v>
      </c>
      <c r="K323" s="4">
        <f t="shared" ref="K323:K386" si="93">J323/$L$2</f>
        <v>0.89928461679925287</v>
      </c>
      <c r="M323" s="6">
        <f t="shared" ref="M323:M386" si="94">SQRT((2 * B323 * G323) / H323)</f>
        <v>278.8368698719737</v>
      </c>
      <c r="N323" s="6">
        <f t="shared" ref="N323:N386" si="95">SQRT((2 * C323 * G323) / H323)</f>
        <v>317.92294663959063</v>
      </c>
      <c r="O323" s="6">
        <f t="shared" ref="O323:O386" si="96">B323 / 365</f>
        <v>4.2602739726027394</v>
      </c>
      <c r="P323" s="6">
        <f t="shared" ref="P323:P386" si="97">E323*O323</f>
        <v>21.301369863013697</v>
      </c>
      <c r="Q323" t="str">
        <f t="shared" ref="Q323:Q386" si="98">IF(K323 &lt;= 0.8, "A", IF(K323 &lt;= 0.95, "B", "C"))</f>
        <v>B</v>
      </c>
      <c r="R323" s="6">
        <f t="shared" ref="R323:R386" si="99">M323/2</f>
        <v>139.41843493598685</v>
      </c>
      <c r="S323" s="6">
        <f t="shared" ref="S323:S386" si="100">B323/R323</f>
        <v>11.153474794878949</v>
      </c>
      <c r="T323" s="6">
        <f t="shared" ref="T323:T386" si="101">(B323/M323)*G323</f>
        <v>278.83686987197376</v>
      </c>
      <c r="U323" s="6">
        <f t="shared" ref="U323:U386" si="102">R323/H323</f>
        <v>69.709217467993426</v>
      </c>
      <c r="V323" s="6">
        <f t="shared" ref="V323:V386" si="103">T323+U323</f>
        <v>348.54608733996719</v>
      </c>
      <c r="W323">
        <v>28</v>
      </c>
      <c r="X323" t="str">
        <f t="shared" ref="X323:X386" si="104">IF(W323 &lt; P323, "ALERT", "OK")</f>
        <v>OK</v>
      </c>
      <c r="Y323" s="6">
        <f t="shared" ref="Y323:Y386" si="105">E323 + 5</f>
        <v>10</v>
      </c>
      <c r="Z323" s="6">
        <f t="shared" ref="Z323:Z386" si="106">ROUND(Y323, 0) * ROUND(O323, 0)</f>
        <v>40</v>
      </c>
    </row>
    <row r="324" spans="1:26" x14ac:dyDescent="0.3">
      <c r="A324" s="3" t="str">
        <f t="shared" si="90"/>
        <v>SKU323</v>
      </c>
      <c r="B324" s="3">
        <v>567</v>
      </c>
      <c r="C324" s="3">
        <f t="shared" si="92"/>
        <v>737.1</v>
      </c>
      <c r="D324" s="3">
        <v>56.3</v>
      </c>
      <c r="E324" s="3">
        <v>6</v>
      </c>
      <c r="F324" s="3" t="str" cm="1">
        <f t="array" aca="1" ref="F324" ca="1">INDEX({"Electronics","Clothing","Food","Furniture"}, RANDBETWEEN(1,4))</f>
        <v>Food</v>
      </c>
      <c r="G324" s="3">
        <v>50</v>
      </c>
      <c r="H324" s="3">
        <v>2</v>
      </c>
      <c r="I324" s="3">
        <f t="shared" si="91"/>
        <v>31922.1</v>
      </c>
      <c r="J324" s="3">
        <f t="shared" ref="J324:J387" si="107">SUM(J323+I324)</f>
        <v>26240676.739999991</v>
      </c>
      <c r="K324" s="4">
        <f t="shared" si="93"/>
        <v>0.90037993986439835</v>
      </c>
      <c r="M324" s="6">
        <f t="shared" si="94"/>
        <v>168.37458240482735</v>
      </c>
      <c r="N324" s="6">
        <f t="shared" si="95"/>
        <v>191.97656106931387</v>
      </c>
      <c r="O324" s="6">
        <f t="shared" si="96"/>
        <v>1.5534246575342465</v>
      </c>
      <c r="P324" s="6">
        <f t="shared" si="97"/>
        <v>9.3205479452054796</v>
      </c>
      <c r="Q324" t="str">
        <f t="shared" si="98"/>
        <v>B</v>
      </c>
      <c r="R324" s="6">
        <f t="shared" si="99"/>
        <v>84.187291202413675</v>
      </c>
      <c r="S324" s="6">
        <f t="shared" si="100"/>
        <v>6.7349832961930947</v>
      </c>
      <c r="T324" s="6">
        <f t="shared" si="101"/>
        <v>168.37458240482738</v>
      </c>
      <c r="U324" s="6">
        <f t="shared" si="102"/>
        <v>42.093645601206838</v>
      </c>
      <c r="V324" s="6">
        <f t="shared" si="103"/>
        <v>210.46822800603422</v>
      </c>
      <c r="W324">
        <v>3</v>
      </c>
      <c r="X324" t="str">
        <f t="shared" si="104"/>
        <v>ALERT</v>
      </c>
      <c r="Y324" s="6">
        <f t="shared" si="105"/>
        <v>11</v>
      </c>
      <c r="Z324" s="6">
        <f t="shared" si="106"/>
        <v>22</v>
      </c>
    </row>
    <row r="325" spans="1:26" x14ac:dyDescent="0.3">
      <c r="A325" s="3" t="str">
        <f t="shared" si="90"/>
        <v>SKU324</v>
      </c>
      <c r="B325" s="3">
        <v>519</v>
      </c>
      <c r="C325" s="3">
        <f t="shared" si="92"/>
        <v>674.7</v>
      </c>
      <c r="D325" s="3">
        <v>61.18</v>
      </c>
      <c r="E325" s="3">
        <v>21</v>
      </c>
      <c r="F325" s="3" t="str" cm="1">
        <f t="array" aca="1" ref="F325" ca="1">INDEX({"Electronics","Clothing","Food","Furniture"}, RANDBETWEEN(1,4))</f>
        <v>Clothing</v>
      </c>
      <c r="G325" s="3">
        <v>50</v>
      </c>
      <c r="H325" s="3">
        <v>2</v>
      </c>
      <c r="I325" s="3">
        <f t="shared" si="91"/>
        <v>31752.42</v>
      </c>
      <c r="J325" s="3">
        <f t="shared" si="107"/>
        <v>26272429.159999993</v>
      </c>
      <c r="K325" s="4">
        <f t="shared" si="93"/>
        <v>0.90146944080575819</v>
      </c>
      <c r="M325" s="6">
        <f t="shared" si="94"/>
        <v>161.09003693587013</v>
      </c>
      <c r="N325" s="6">
        <f t="shared" si="95"/>
        <v>183.67090134259155</v>
      </c>
      <c r="O325" s="6">
        <f t="shared" si="96"/>
        <v>1.4219178082191781</v>
      </c>
      <c r="P325" s="6">
        <f t="shared" si="97"/>
        <v>29.860273972602741</v>
      </c>
      <c r="Q325" t="str">
        <f t="shared" si="98"/>
        <v>B</v>
      </c>
      <c r="R325" s="6">
        <f t="shared" si="99"/>
        <v>80.545018467935066</v>
      </c>
      <c r="S325" s="6">
        <f t="shared" si="100"/>
        <v>6.4436014774348047</v>
      </c>
      <c r="T325" s="6">
        <f t="shared" si="101"/>
        <v>161.09003693587013</v>
      </c>
      <c r="U325" s="6">
        <f t="shared" si="102"/>
        <v>40.272509233967533</v>
      </c>
      <c r="V325" s="6">
        <f t="shared" si="103"/>
        <v>201.36254616983766</v>
      </c>
      <c r="W325">
        <v>37</v>
      </c>
      <c r="X325" t="str">
        <f t="shared" si="104"/>
        <v>OK</v>
      </c>
      <c r="Y325" s="6">
        <f t="shared" si="105"/>
        <v>26</v>
      </c>
      <c r="Z325" s="6">
        <f t="shared" si="106"/>
        <v>26</v>
      </c>
    </row>
    <row r="326" spans="1:26" x14ac:dyDescent="0.3">
      <c r="A326" s="3" t="str">
        <f t="shared" si="90"/>
        <v>SKU325</v>
      </c>
      <c r="B326" s="3">
        <v>768</v>
      </c>
      <c r="C326" s="3">
        <f t="shared" si="92"/>
        <v>998.40000000000009</v>
      </c>
      <c r="D326" s="3">
        <v>40.85</v>
      </c>
      <c r="E326" s="3">
        <v>25</v>
      </c>
      <c r="F326" s="3" t="str" cm="1">
        <f t="array" aca="1" ref="F326" ca="1">INDEX({"Electronics","Clothing","Food","Furniture"}, RANDBETWEEN(1,4))</f>
        <v>Furniture</v>
      </c>
      <c r="G326" s="3">
        <v>50</v>
      </c>
      <c r="H326" s="3">
        <v>2</v>
      </c>
      <c r="I326" s="3">
        <f t="shared" si="91"/>
        <v>31372.800000000003</v>
      </c>
      <c r="J326" s="3">
        <f t="shared" si="107"/>
        <v>26303801.959999993</v>
      </c>
      <c r="K326" s="4">
        <f t="shared" si="93"/>
        <v>0.90254591608333057</v>
      </c>
      <c r="M326" s="6">
        <f t="shared" si="94"/>
        <v>195.95917942265424</v>
      </c>
      <c r="N326" s="6">
        <f t="shared" si="95"/>
        <v>223.42784070030308</v>
      </c>
      <c r="O326" s="6">
        <f t="shared" si="96"/>
        <v>2.1041095890410957</v>
      </c>
      <c r="P326" s="6">
        <f t="shared" si="97"/>
        <v>52.602739726027394</v>
      </c>
      <c r="Q326" t="str">
        <f t="shared" si="98"/>
        <v>B</v>
      </c>
      <c r="R326" s="6">
        <f t="shared" si="99"/>
        <v>97.979589711327122</v>
      </c>
      <c r="S326" s="6">
        <f t="shared" si="100"/>
        <v>7.8383671769061705</v>
      </c>
      <c r="T326" s="6">
        <f t="shared" si="101"/>
        <v>195.95917942265427</v>
      </c>
      <c r="U326" s="6">
        <f t="shared" si="102"/>
        <v>48.989794855663561</v>
      </c>
      <c r="V326" s="6">
        <f t="shared" si="103"/>
        <v>244.94897427831785</v>
      </c>
      <c r="W326">
        <v>72</v>
      </c>
      <c r="X326" t="str">
        <f t="shared" si="104"/>
        <v>OK</v>
      </c>
      <c r="Y326" s="6">
        <f t="shared" si="105"/>
        <v>30</v>
      </c>
      <c r="Z326" s="6">
        <f t="shared" si="106"/>
        <v>60</v>
      </c>
    </row>
    <row r="327" spans="1:26" x14ac:dyDescent="0.3">
      <c r="A327" s="3" t="str">
        <f t="shared" si="90"/>
        <v>SKU326</v>
      </c>
      <c r="B327" s="3">
        <v>1466</v>
      </c>
      <c r="C327" s="3">
        <f t="shared" si="92"/>
        <v>1905.8</v>
      </c>
      <c r="D327" s="3">
        <v>21.14</v>
      </c>
      <c r="E327" s="3">
        <v>11</v>
      </c>
      <c r="F327" s="3" t="str" cm="1">
        <f t="array" aca="1" ref="F327" ca="1">INDEX({"Electronics","Clothing","Food","Furniture"}, RANDBETWEEN(1,4))</f>
        <v>Food</v>
      </c>
      <c r="G327" s="3">
        <v>50</v>
      </c>
      <c r="H327" s="3">
        <v>2</v>
      </c>
      <c r="I327" s="3">
        <f t="shared" si="91"/>
        <v>30991.24</v>
      </c>
      <c r="J327" s="3">
        <f t="shared" si="107"/>
        <v>26334793.199999992</v>
      </c>
      <c r="K327" s="4">
        <f t="shared" si="93"/>
        <v>0.90360929913110799</v>
      </c>
      <c r="M327" s="6">
        <f t="shared" si="94"/>
        <v>270.73972741361769</v>
      </c>
      <c r="N327" s="6">
        <f t="shared" si="95"/>
        <v>308.69078379504629</v>
      </c>
      <c r="O327" s="6">
        <f t="shared" si="96"/>
        <v>4.0164383561643833</v>
      </c>
      <c r="P327" s="6">
        <f t="shared" si="97"/>
        <v>44.180821917808217</v>
      </c>
      <c r="Q327" t="str">
        <f t="shared" si="98"/>
        <v>B</v>
      </c>
      <c r="R327" s="6">
        <f t="shared" si="99"/>
        <v>135.36986370680884</v>
      </c>
      <c r="S327" s="6">
        <f t="shared" si="100"/>
        <v>10.829589096544707</v>
      </c>
      <c r="T327" s="6">
        <f t="shared" si="101"/>
        <v>270.73972741361769</v>
      </c>
      <c r="U327" s="6">
        <f t="shared" si="102"/>
        <v>67.684931853404422</v>
      </c>
      <c r="V327" s="6">
        <f t="shared" si="103"/>
        <v>338.42465926702209</v>
      </c>
      <c r="W327">
        <v>38</v>
      </c>
      <c r="X327" t="str">
        <f t="shared" si="104"/>
        <v>ALERT</v>
      </c>
      <c r="Y327" s="6">
        <f t="shared" si="105"/>
        <v>16</v>
      </c>
      <c r="Z327" s="6">
        <f t="shared" si="106"/>
        <v>64</v>
      </c>
    </row>
    <row r="328" spans="1:26" x14ac:dyDescent="0.3">
      <c r="A328" s="3" t="str">
        <f t="shared" si="90"/>
        <v>SKU327</v>
      </c>
      <c r="B328" s="3">
        <v>1699</v>
      </c>
      <c r="C328" s="3">
        <f t="shared" si="92"/>
        <v>2208.7000000000003</v>
      </c>
      <c r="D328" s="3">
        <v>18.07</v>
      </c>
      <c r="E328" s="3">
        <v>25</v>
      </c>
      <c r="F328" s="3" t="str" cm="1">
        <f t="array" aca="1" ref="F328" ca="1">INDEX({"Electronics","Clothing","Food","Furniture"}, RANDBETWEEN(1,4))</f>
        <v>Clothing</v>
      </c>
      <c r="G328" s="3">
        <v>50</v>
      </c>
      <c r="H328" s="3">
        <v>2</v>
      </c>
      <c r="I328" s="3">
        <f t="shared" si="91"/>
        <v>30700.93</v>
      </c>
      <c r="J328" s="3">
        <f t="shared" si="107"/>
        <v>26365494.129999992</v>
      </c>
      <c r="K328" s="4">
        <f t="shared" si="93"/>
        <v>0.9046627209533068</v>
      </c>
      <c r="M328" s="6">
        <f t="shared" si="94"/>
        <v>291.46183283579342</v>
      </c>
      <c r="N328" s="6">
        <f t="shared" si="95"/>
        <v>332.31761915372471</v>
      </c>
      <c r="O328" s="6">
        <f t="shared" si="96"/>
        <v>4.6547945205479451</v>
      </c>
      <c r="P328" s="6">
        <f t="shared" si="97"/>
        <v>116.36986301369862</v>
      </c>
      <c r="Q328" t="str">
        <f t="shared" si="98"/>
        <v>B</v>
      </c>
      <c r="R328" s="6">
        <f t="shared" si="99"/>
        <v>145.73091641789671</v>
      </c>
      <c r="S328" s="6">
        <f t="shared" si="100"/>
        <v>11.658473313431738</v>
      </c>
      <c r="T328" s="6">
        <f t="shared" si="101"/>
        <v>291.46183283579347</v>
      </c>
      <c r="U328" s="6">
        <f t="shared" si="102"/>
        <v>72.865458208948354</v>
      </c>
      <c r="V328" s="6">
        <f t="shared" si="103"/>
        <v>364.32729104474186</v>
      </c>
      <c r="W328">
        <v>5</v>
      </c>
      <c r="X328" t="str">
        <f t="shared" si="104"/>
        <v>ALERT</v>
      </c>
      <c r="Y328" s="6">
        <f t="shared" si="105"/>
        <v>30</v>
      </c>
      <c r="Z328" s="6">
        <f t="shared" si="106"/>
        <v>150</v>
      </c>
    </row>
    <row r="329" spans="1:26" x14ac:dyDescent="0.3">
      <c r="A329" s="3" t="str">
        <f t="shared" si="90"/>
        <v>SKU328</v>
      </c>
      <c r="B329" s="3">
        <v>355</v>
      </c>
      <c r="C329" s="3">
        <f t="shared" si="92"/>
        <v>461.5</v>
      </c>
      <c r="D329" s="3">
        <v>85.01</v>
      </c>
      <c r="E329" s="3">
        <v>7</v>
      </c>
      <c r="F329" s="3" t="str" cm="1">
        <f t="array" aca="1" ref="F329" ca="1">INDEX({"Electronics","Clothing","Food","Furniture"}, RANDBETWEEN(1,4))</f>
        <v>Clothing</v>
      </c>
      <c r="G329" s="3">
        <v>50</v>
      </c>
      <c r="H329" s="3">
        <v>2</v>
      </c>
      <c r="I329" s="3">
        <f t="shared" si="91"/>
        <v>30178.550000000003</v>
      </c>
      <c r="J329" s="3">
        <f t="shared" si="107"/>
        <v>26395672.679999992</v>
      </c>
      <c r="K329" s="4">
        <f t="shared" si="93"/>
        <v>0.9056982186770669</v>
      </c>
      <c r="M329" s="6">
        <f t="shared" si="94"/>
        <v>133.22912594474226</v>
      </c>
      <c r="N329" s="6">
        <f t="shared" si="95"/>
        <v>151.90457530963312</v>
      </c>
      <c r="O329" s="6">
        <f t="shared" si="96"/>
        <v>0.9726027397260274</v>
      </c>
      <c r="P329" s="6">
        <f t="shared" si="97"/>
        <v>6.8082191780821919</v>
      </c>
      <c r="Q329" t="str">
        <f t="shared" si="98"/>
        <v>B</v>
      </c>
      <c r="R329" s="6">
        <f t="shared" si="99"/>
        <v>66.614562972371132</v>
      </c>
      <c r="S329" s="6">
        <f t="shared" si="100"/>
        <v>5.329165037789692</v>
      </c>
      <c r="T329" s="6">
        <f t="shared" si="101"/>
        <v>133.22912594474229</v>
      </c>
      <c r="U329" s="6">
        <f t="shared" si="102"/>
        <v>33.307281486185566</v>
      </c>
      <c r="V329" s="6">
        <f t="shared" si="103"/>
        <v>166.53640743092785</v>
      </c>
      <c r="W329">
        <v>46</v>
      </c>
      <c r="X329" t="str">
        <f t="shared" si="104"/>
        <v>OK</v>
      </c>
      <c r="Y329" s="6">
        <f t="shared" si="105"/>
        <v>12</v>
      </c>
      <c r="Z329" s="6">
        <f t="shared" si="106"/>
        <v>12</v>
      </c>
    </row>
    <row r="330" spans="1:26" x14ac:dyDescent="0.3">
      <c r="A330" s="3" t="str">
        <f t="shared" si="90"/>
        <v>SKU329</v>
      </c>
      <c r="B330" s="3">
        <v>809</v>
      </c>
      <c r="C330" s="3">
        <f t="shared" si="92"/>
        <v>1051.7</v>
      </c>
      <c r="D330" s="3">
        <v>37.1</v>
      </c>
      <c r="E330" s="3">
        <v>29</v>
      </c>
      <c r="F330" s="3" t="str" cm="1">
        <f t="array" aca="1" ref="F330" ca="1">INDEX({"Electronics","Clothing","Food","Furniture"}, RANDBETWEEN(1,4))</f>
        <v>Furniture</v>
      </c>
      <c r="G330" s="3">
        <v>50</v>
      </c>
      <c r="H330" s="3">
        <v>2</v>
      </c>
      <c r="I330" s="3">
        <f t="shared" si="91"/>
        <v>30013.9</v>
      </c>
      <c r="J330" s="3">
        <f t="shared" si="107"/>
        <v>26425686.579999991</v>
      </c>
      <c r="K330" s="4">
        <f t="shared" si="93"/>
        <v>0.90672806686828755</v>
      </c>
      <c r="M330" s="6">
        <f t="shared" si="94"/>
        <v>201.12185361118767</v>
      </c>
      <c r="N330" s="6">
        <f t="shared" si="95"/>
        <v>229.31419493786248</v>
      </c>
      <c r="O330" s="6">
        <f t="shared" si="96"/>
        <v>2.2164383561643834</v>
      </c>
      <c r="P330" s="6">
        <f t="shared" si="97"/>
        <v>64.276712328767118</v>
      </c>
      <c r="Q330" t="str">
        <f t="shared" si="98"/>
        <v>B</v>
      </c>
      <c r="R330" s="6">
        <f t="shared" si="99"/>
        <v>100.56092680559384</v>
      </c>
      <c r="S330" s="6">
        <f t="shared" si="100"/>
        <v>8.0448741444475065</v>
      </c>
      <c r="T330" s="6">
        <f t="shared" si="101"/>
        <v>201.12185361118767</v>
      </c>
      <c r="U330" s="6">
        <f t="shared" si="102"/>
        <v>50.280463402796919</v>
      </c>
      <c r="V330" s="6">
        <f t="shared" si="103"/>
        <v>251.4023170139846</v>
      </c>
      <c r="W330">
        <v>110</v>
      </c>
      <c r="X330" t="str">
        <f t="shared" si="104"/>
        <v>OK</v>
      </c>
      <c r="Y330" s="6">
        <f t="shared" si="105"/>
        <v>34</v>
      </c>
      <c r="Z330" s="6">
        <f t="shared" si="106"/>
        <v>68</v>
      </c>
    </row>
    <row r="331" spans="1:26" x14ac:dyDescent="0.3">
      <c r="A331" s="3" t="str">
        <f t="shared" si="90"/>
        <v>SKU330</v>
      </c>
      <c r="B331" s="3">
        <v>1398</v>
      </c>
      <c r="C331" s="3">
        <f t="shared" si="92"/>
        <v>1817.4</v>
      </c>
      <c r="D331" s="3">
        <v>21.31</v>
      </c>
      <c r="E331" s="3">
        <v>6</v>
      </c>
      <c r="F331" s="3" t="str" cm="1">
        <f t="array" aca="1" ref="F331" ca="1">INDEX({"Electronics","Clothing","Food","Furniture"}, RANDBETWEEN(1,4))</f>
        <v>Clothing</v>
      </c>
      <c r="G331" s="3">
        <v>50</v>
      </c>
      <c r="H331" s="3">
        <v>2</v>
      </c>
      <c r="I331" s="3">
        <f t="shared" si="91"/>
        <v>29791.379999999997</v>
      </c>
      <c r="J331" s="3">
        <f t="shared" si="107"/>
        <v>26455477.95999999</v>
      </c>
      <c r="K331" s="4">
        <f t="shared" si="93"/>
        <v>0.90775027986982904</v>
      </c>
      <c r="M331" s="6">
        <f t="shared" si="94"/>
        <v>264.38608132804569</v>
      </c>
      <c r="N331" s="6">
        <f t="shared" si="95"/>
        <v>301.44651266849979</v>
      </c>
      <c r="O331" s="6">
        <f t="shared" si="96"/>
        <v>3.8301369863013699</v>
      </c>
      <c r="P331" s="6">
        <f t="shared" si="97"/>
        <v>22.980821917808221</v>
      </c>
      <c r="Q331" t="str">
        <f t="shared" si="98"/>
        <v>B</v>
      </c>
      <c r="R331" s="6">
        <f t="shared" si="99"/>
        <v>132.19304066402285</v>
      </c>
      <c r="S331" s="6">
        <f t="shared" si="100"/>
        <v>10.575443253121829</v>
      </c>
      <c r="T331" s="6">
        <f t="shared" si="101"/>
        <v>264.38608132804575</v>
      </c>
      <c r="U331" s="6">
        <f t="shared" si="102"/>
        <v>66.096520332011423</v>
      </c>
      <c r="V331" s="6">
        <f t="shared" si="103"/>
        <v>330.48260166005718</v>
      </c>
      <c r="W331">
        <v>31</v>
      </c>
      <c r="X331" t="str">
        <f t="shared" si="104"/>
        <v>OK</v>
      </c>
      <c r="Y331" s="6">
        <f t="shared" si="105"/>
        <v>11</v>
      </c>
      <c r="Z331" s="6">
        <f t="shared" si="106"/>
        <v>44</v>
      </c>
    </row>
    <row r="332" spans="1:26" x14ac:dyDescent="0.3">
      <c r="A332" s="3" t="str">
        <f t="shared" si="90"/>
        <v>SKU331</v>
      </c>
      <c r="B332" s="3">
        <v>705</v>
      </c>
      <c r="C332" s="3">
        <f t="shared" si="92"/>
        <v>916.5</v>
      </c>
      <c r="D332" s="3">
        <v>41.68</v>
      </c>
      <c r="E332" s="3">
        <v>21</v>
      </c>
      <c r="F332" s="3" t="str" cm="1">
        <f t="array" aca="1" ref="F332" ca="1">INDEX({"Electronics","Clothing","Food","Furniture"}, RANDBETWEEN(1,4))</f>
        <v>Furniture</v>
      </c>
      <c r="G332" s="3">
        <v>50</v>
      </c>
      <c r="H332" s="3">
        <v>2</v>
      </c>
      <c r="I332" s="3">
        <f t="shared" si="91"/>
        <v>29384.400000000001</v>
      </c>
      <c r="J332" s="3">
        <f t="shared" si="107"/>
        <v>26484862.359999988</v>
      </c>
      <c r="K332" s="4">
        <f t="shared" si="93"/>
        <v>0.9087585284210038</v>
      </c>
      <c r="M332" s="6">
        <f t="shared" si="94"/>
        <v>187.74983355518589</v>
      </c>
      <c r="N332" s="6">
        <f t="shared" si="95"/>
        <v>214.06774628607644</v>
      </c>
      <c r="O332" s="6">
        <f t="shared" si="96"/>
        <v>1.9315068493150684</v>
      </c>
      <c r="P332" s="6">
        <f t="shared" si="97"/>
        <v>40.561643835616437</v>
      </c>
      <c r="Q332" t="str">
        <f t="shared" si="98"/>
        <v>B</v>
      </c>
      <c r="R332" s="6">
        <f t="shared" si="99"/>
        <v>93.874916777592944</v>
      </c>
      <c r="S332" s="6">
        <f t="shared" si="100"/>
        <v>7.5099933422074345</v>
      </c>
      <c r="T332" s="6">
        <f t="shared" si="101"/>
        <v>187.74983355518586</v>
      </c>
      <c r="U332" s="6">
        <f t="shared" si="102"/>
        <v>46.937458388796472</v>
      </c>
      <c r="V332" s="6">
        <f t="shared" si="103"/>
        <v>234.68729194398233</v>
      </c>
      <c r="W332">
        <v>56</v>
      </c>
      <c r="X332" t="str">
        <f t="shared" si="104"/>
        <v>OK</v>
      </c>
      <c r="Y332" s="6">
        <f t="shared" si="105"/>
        <v>26</v>
      </c>
      <c r="Z332" s="6">
        <f t="shared" si="106"/>
        <v>52</v>
      </c>
    </row>
    <row r="333" spans="1:26" x14ac:dyDescent="0.3">
      <c r="A333" s="3" t="str">
        <f t="shared" si="90"/>
        <v>SKU332</v>
      </c>
      <c r="B333" s="3">
        <v>816</v>
      </c>
      <c r="C333" s="3">
        <f t="shared" si="92"/>
        <v>1060.8</v>
      </c>
      <c r="D333" s="3">
        <v>35.979999999999997</v>
      </c>
      <c r="E333" s="3">
        <v>18</v>
      </c>
      <c r="F333" s="3" t="str" cm="1">
        <f t="array" aca="1" ref="F333" ca="1">INDEX({"Electronics","Clothing","Food","Furniture"}, RANDBETWEEN(1,4))</f>
        <v>Clothing</v>
      </c>
      <c r="G333" s="3">
        <v>50</v>
      </c>
      <c r="H333" s="3">
        <v>2</v>
      </c>
      <c r="I333" s="3">
        <f t="shared" si="91"/>
        <v>29359.679999999997</v>
      </c>
      <c r="J333" s="3">
        <f t="shared" si="107"/>
        <v>26514222.039999988</v>
      </c>
      <c r="K333" s="4">
        <f t="shared" si="93"/>
        <v>0.90976592877026929</v>
      </c>
      <c r="M333" s="6">
        <f t="shared" si="94"/>
        <v>201.99009876724156</v>
      </c>
      <c r="N333" s="6">
        <f t="shared" si="95"/>
        <v>230.30414672775652</v>
      </c>
      <c r="O333" s="6">
        <f t="shared" si="96"/>
        <v>2.2356164383561645</v>
      </c>
      <c r="P333" s="6">
        <f t="shared" si="97"/>
        <v>40.241095890410961</v>
      </c>
      <c r="Q333" t="str">
        <f t="shared" si="98"/>
        <v>B</v>
      </c>
      <c r="R333" s="6">
        <f t="shared" si="99"/>
        <v>100.99504938362078</v>
      </c>
      <c r="S333" s="6">
        <f t="shared" si="100"/>
        <v>8.0796039506896626</v>
      </c>
      <c r="T333" s="6">
        <f t="shared" si="101"/>
        <v>201.99009876724156</v>
      </c>
      <c r="U333" s="6">
        <f t="shared" si="102"/>
        <v>50.497524691810391</v>
      </c>
      <c r="V333" s="6">
        <f t="shared" si="103"/>
        <v>252.48762345905195</v>
      </c>
      <c r="W333">
        <v>56</v>
      </c>
      <c r="X333" t="str">
        <f t="shared" si="104"/>
        <v>OK</v>
      </c>
      <c r="Y333" s="6">
        <f t="shared" si="105"/>
        <v>23</v>
      </c>
      <c r="Z333" s="6">
        <f t="shared" si="106"/>
        <v>46</v>
      </c>
    </row>
    <row r="334" spans="1:26" x14ac:dyDescent="0.3">
      <c r="A334" s="3" t="str">
        <f t="shared" si="90"/>
        <v>SKU333</v>
      </c>
      <c r="B334" s="3">
        <v>1208</v>
      </c>
      <c r="C334" s="3">
        <f t="shared" si="92"/>
        <v>1570.4</v>
      </c>
      <c r="D334" s="3">
        <v>24.22</v>
      </c>
      <c r="E334" s="3">
        <v>27</v>
      </c>
      <c r="F334" s="3" t="str" cm="1">
        <f t="array" aca="1" ref="F334" ca="1">INDEX({"Electronics","Clothing","Food","Furniture"}, RANDBETWEEN(1,4))</f>
        <v>Furniture</v>
      </c>
      <c r="G334" s="3">
        <v>50</v>
      </c>
      <c r="H334" s="3">
        <v>2</v>
      </c>
      <c r="I334" s="3">
        <f t="shared" si="91"/>
        <v>29257.759999999998</v>
      </c>
      <c r="J334" s="3">
        <f t="shared" si="107"/>
        <v>26543479.79999999</v>
      </c>
      <c r="K334" s="4">
        <f t="shared" si="93"/>
        <v>0.91076983200227746</v>
      </c>
      <c r="M334" s="6">
        <f t="shared" si="94"/>
        <v>245.76411454889015</v>
      </c>
      <c r="N334" s="6">
        <f t="shared" si="95"/>
        <v>280.21420377989409</v>
      </c>
      <c r="O334" s="6">
        <f t="shared" si="96"/>
        <v>3.3095890410958906</v>
      </c>
      <c r="P334" s="6">
        <f t="shared" si="97"/>
        <v>89.358904109589048</v>
      </c>
      <c r="Q334" t="str">
        <f t="shared" si="98"/>
        <v>B</v>
      </c>
      <c r="R334" s="6">
        <f t="shared" si="99"/>
        <v>122.88205727444507</v>
      </c>
      <c r="S334" s="6">
        <f t="shared" si="100"/>
        <v>9.8305645819556062</v>
      </c>
      <c r="T334" s="6">
        <f t="shared" si="101"/>
        <v>245.76411454889015</v>
      </c>
      <c r="U334" s="6">
        <f t="shared" si="102"/>
        <v>61.441028637222537</v>
      </c>
      <c r="V334" s="6">
        <f t="shared" si="103"/>
        <v>307.20514318611271</v>
      </c>
      <c r="W334">
        <v>41</v>
      </c>
      <c r="X334" t="str">
        <f t="shared" si="104"/>
        <v>ALERT</v>
      </c>
      <c r="Y334" s="6">
        <f t="shared" si="105"/>
        <v>32</v>
      </c>
      <c r="Z334" s="6">
        <f t="shared" si="106"/>
        <v>96</v>
      </c>
    </row>
    <row r="335" spans="1:26" x14ac:dyDescent="0.3">
      <c r="A335" s="3" t="str">
        <f t="shared" si="90"/>
        <v>SKU334</v>
      </c>
      <c r="B335" s="3">
        <v>415</v>
      </c>
      <c r="C335" s="3">
        <f t="shared" si="92"/>
        <v>539.5</v>
      </c>
      <c r="D335" s="3">
        <v>70.36</v>
      </c>
      <c r="E335" s="3">
        <v>22</v>
      </c>
      <c r="F335" s="3" t="str" cm="1">
        <f t="array" aca="1" ref="F335" ca="1">INDEX({"Electronics","Clothing","Food","Furniture"}, RANDBETWEEN(1,4))</f>
        <v>Food</v>
      </c>
      <c r="G335" s="3">
        <v>50</v>
      </c>
      <c r="H335" s="3">
        <v>2</v>
      </c>
      <c r="I335" s="3">
        <f t="shared" si="91"/>
        <v>29199.4</v>
      </c>
      <c r="J335" s="3">
        <f t="shared" si="107"/>
        <v>26572679.199999988</v>
      </c>
      <c r="K335" s="4">
        <f t="shared" si="93"/>
        <v>0.91177173276408208</v>
      </c>
      <c r="M335" s="6">
        <f t="shared" si="94"/>
        <v>144.04860290887933</v>
      </c>
      <c r="N335" s="6">
        <f t="shared" si="95"/>
        <v>164.24067705656842</v>
      </c>
      <c r="O335" s="6">
        <f t="shared" si="96"/>
        <v>1.1369863013698631</v>
      </c>
      <c r="P335" s="6">
        <f t="shared" si="97"/>
        <v>25.013698630136989</v>
      </c>
      <c r="Q335" t="str">
        <f t="shared" si="98"/>
        <v>B</v>
      </c>
      <c r="R335" s="6">
        <f t="shared" si="99"/>
        <v>72.024301454439666</v>
      </c>
      <c r="S335" s="6">
        <f t="shared" si="100"/>
        <v>5.7619441163551732</v>
      </c>
      <c r="T335" s="6">
        <f t="shared" si="101"/>
        <v>144.04860290887933</v>
      </c>
      <c r="U335" s="6">
        <f t="shared" si="102"/>
        <v>36.012150727219833</v>
      </c>
      <c r="V335" s="6">
        <f t="shared" si="103"/>
        <v>180.06075363609915</v>
      </c>
      <c r="W335">
        <v>55</v>
      </c>
      <c r="X335" t="str">
        <f t="shared" si="104"/>
        <v>OK</v>
      </c>
      <c r="Y335" s="6">
        <f t="shared" si="105"/>
        <v>27</v>
      </c>
      <c r="Z335" s="6">
        <f t="shared" si="106"/>
        <v>27</v>
      </c>
    </row>
    <row r="336" spans="1:26" x14ac:dyDescent="0.3">
      <c r="A336" s="3" t="str">
        <f t="shared" si="90"/>
        <v>SKU335</v>
      </c>
      <c r="B336" s="3">
        <v>342</v>
      </c>
      <c r="C336" s="3">
        <f t="shared" si="92"/>
        <v>444.6</v>
      </c>
      <c r="D336" s="3">
        <v>85.05</v>
      </c>
      <c r="E336" s="3">
        <v>13</v>
      </c>
      <c r="F336" s="3" t="str" cm="1">
        <f t="array" aca="1" ref="F336" ca="1">INDEX({"Electronics","Clothing","Food","Furniture"}, RANDBETWEEN(1,4))</f>
        <v>Food</v>
      </c>
      <c r="G336" s="3">
        <v>50</v>
      </c>
      <c r="H336" s="3">
        <v>2</v>
      </c>
      <c r="I336" s="3">
        <f t="shared" si="91"/>
        <v>29087.1</v>
      </c>
      <c r="J336" s="3">
        <f t="shared" si="107"/>
        <v>26601766.29999999</v>
      </c>
      <c r="K336" s="4">
        <f t="shared" si="93"/>
        <v>0.91276978024617728</v>
      </c>
      <c r="M336" s="6">
        <f t="shared" si="94"/>
        <v>130.76696830622021</v>
      </c>
      <c r="N336" s="6">
        <f t="shared" si="95"/>
        <v>149.09728367747013</v>
      </c>
      <c r="O336" s="6">
        <f t="shared" si="96"/>
        <v>0.93698630136986305</v>
      </c>
      <c r="P336" s="6">
        <f t="shared" si="97"/>
        <v>12.18082191780822</v>
      </c>
      <c r="Q336" t="str">
        <f t="shared" si="98"/>
        <v>B</v>
      </c>
      <c r="R336" s="6">
        <f t="shared" si="99"/>
        <v>65.383484153110103</v>
      </c>
      <c r="S336" s="6">
        <f t="shared" si="100"/>
        <v>5.2306787322488084</v>
      </c>
      <c r="T336" s="6">
        <f t="shared" si="101"/>
        <v>130.76696830622021</v>
      </c>
      <c r="U336" s="6">
        <f t="shared" si="102"/>
        <v>32.691742076555052</v>
      </c>
      <c r="V336" s="6">
        <f t="shared" si="103"/>
        <v>163.45871038277525</v>
      </c>
      <c r="W336">
        <v>23</v>
      </c>
      <c r="X336" t="str">
        <f t="shared" si="104"/>
        <v>OK</v>
      </c>
      <c r="Y336" s="6">
        <f t="shared" si="105"/>
        <v>18</v>
      </c>
      <c r="Z336" s="6">
        <f t="shared" si="106"/>
        <v>18</v>
      </c>
    </row>
    <row r="337" spans="1:26" x14ac:dyDescent="0.3">
      <c r="A337" s="3" t="str">
        <f t="shared" si="90"/>
        <v>SKU336</v>
      </c>
      <c r="B337" s="3">
        <v>522</v>
      </c>
      <c r="C337" s="3">
        <f t="shared" si="92"/>
        <v>678.6</v>
      </c>
      <c r="D337" s="3">
        <v>55.55</v>
      </c>
      <c r="E337" s="3">
        <v>26</v>
      </c>
      <c r="F337" s="3" t="str" cm="1">
        <f t="array" aca="1" ref="F337" ca="1">INDEX({"Electronics","Clothing","Food","Furniture"}, RANDBETWEEN(1,4))</f>
        <v>Furniture</v>
      </c>
      <c r="G337" s="3">
        <v>50</v>
      </c>
      <c r="H337" s="3">
        <v>2</v>
      </c>
      <c r="I337" s="3">
        <f t="shared" si="91"/>
        <v>28997.1</v>
      </c>
      <c r="J337" s="3">
        <f t="shared" si="107"/>
        <v>26630763.399999991</v>
      </c>
      <c r="K337" s="4">
        <f t="shared" si="93"/>
        <v>0.91376473961452487</v>
      </c>
      <c r="M337" s="6">
        <f t="shared" si="94"/>
        <v>161.55494421403512</v>
      </c>
      <c r="N337" s="6">
        <f t="shared" si="95"/>
        <v>184.20097719610501</v>
      </c>
      <c r="O337" s="6">
        <f t="shared" si="96"/>
        <v>1.4301369863013698</v>
      </c>
      <c r="P337" s="6">
        <f t="shared" si="97"/>
        <v>37.183561643835617</v>
      </c>
      <c r="Q337" t="str">
        <f t="shared" si="98"/>
        <v>B</v>
      </c>
      <c r="R337" s="6">
        <f t="shared" si="99"/>
        <v>80.777472107017559</v>
      </c>
      <c r="S337" s="6">
        <f t="shared" si="100"/>
        <v>6.4621977685614054</v>
      </c>
      <c r="T337" s="6">
        <f t="shared" si="101"/>
        <v>161.55494421403515</v>
      </c>
      <c r="U337" s="6">
        <f t="shared" si="102"/>
        <v>40.388736053508779</v>
      </c>
      <c r="V337" s="6">
        <f t="shared" si="103"/>
        <v>201.94368026754393</v>
      </c>
      <c r="W337">
        <v>86</v>
      </c>
      <c r="X337" t="str">
        <f t="shared" si="104"/>
        <v>OK</v>
      </c>
      <c r="Y337" s="6">
        <f t="shared" si="105"/>
        <v>31</v>
      </c>
      <c r="Z337" s="6">
        <f t="shared" si="106"/>
        <v>31</v>
      </c>
    </row>
    <row r="338" spans="1:26" x14ac:dyDescent="0.3">
      <c r="A338" s="3" t="str">
        <f t="shared" si="90"/>
        <v>SKU337</v>
      </c>
      <c r="B338" s="3">
        <v>758</v>
      </c>
      <c r="C338" s="3">
        <f t="shared" si="92"/>
        <v>985.4</v>
      </c>
      <c r="D338" s="3">
        <v>38.22</v>
      </c>
      <c r="E338" s="3">
        <v>16</v>
      </c>
      <c r="F338" s="3" t="str" cm="1">
        <f t="array" aca="1" ref="F338" ca="1">INDEX({"Electronics","Clothing","Food","Furniture"}, RANDBETWEEN(1,4))</f>
        <v>Clothing</v>
      </c>
      <c r="G338" s="3">
        <v>50</v>
      </c>
      <c r="H338" s="3">
        <v>2</v>
      </c>
      <c r="I338" s="3">
        <f t="shared" si="91"/>
        <v>28970.76</v>
      </c>
      <c r="J338" s="3">
        <f t="shared" si="107"/>
        <v>26659734.159999993</v>
      </c>
      <c r="K338" s="4">
        <f t="shared" si="93"/>
        <v>0.91475879519491565</v>
      </c>
      <c r="M338" s="6">
        <f t="shared" si="94"/>
        <v>194.67922333931784</v>
      </c>
      <c r="N338" s="6">
        <f t="shared" si="95"/>
        <v>221.96846622887676</v>
      </c>
      <c r="O338" s="6">
        <f t="shared" si="96"/>
        <v>2.0767123287671234</v>
      </c>
      <c r="P338" s="6">
        <f t="shared" si="97"/>
        <v>33.227397260273975</v>
      </c>
      <c r="Q338" t="str">
        <f t="shared" si="98"/>
        <v>B</v>
      </c>
      <c r="R338" s="6">
        <f t="shared" si="99"/>
        <v>97.339611669658922</v>
      </c>
      <c r="S338" s="6">
        <f t="shared" si="100"/>
        <v>7.7871689335727146</v>
      </c>
      <c r="T338" s="6">
        <f t="shared" si="101"/>
        <v>194.67922333931787</v>
      </c>
      <c r="U338" s="6">
        <f t="shared" si="102"/>
        <v>48.669805834829461</v>
      </c>
      <c r="V338" s="6">
        <f t="shared" si="103"/>
        <v>243.34902917414735</v>
      </c>
      <c r="W338">
        <v>83</v>
      </c>
      <c r="X338" t="str">
        <f t="shared" si="104"/>
        <v>OK</v>
      </c>
      <c r="Y338" s="6">
        <f t="shared" si="105"/>
        <v>21</v>
      </c>
      <c r="Z338" s="6">
        <f t="shared" si="106"/>
        <v>42</v>
      </c>
    </row>
    <row r="339" spans="1:26" x14ac:dyDescent="0.3">
      <c r="A339" s="3" t="str">
        <f t="shared" si="90"/>
        <v>SKU338</v>
      </c>
      <c r="B339" s="3">
        <v>1547</v>
      </c>
      <c r="C339" s="3">
        <f t="shared" si="92"/>
        <v>2011.1000000000001</v>
      </c>
      <c r="D339" s="3">
        <v>18.71</v>
      </c>
      <c r="E339" s="3">
        <v>21</v>
      </c>
      <c r="F339" s="3" t="str" cm="1">
        <f t="array" aca="1" ref="F339" ca="1">INDEX({"Electronics","Clothing","Food","Furniture"}, RANDBETWEEN(1,4))</f>
        <v>Clothing</v>
      </c>
      <c r="G339" s="3">
        <v>50</v>
      </c>
      <c r="H339" s="3">
        <v>2</v>
      </c>
      <c r="I339" s="3">
        <f t="shared" si="91"/>
        <v>28944.370000000003</v>
      </c>
      <c r="J339" s="3">
        <f t="shared" si="107"/>
        <v>26688678.529999994</v>
      </c>
      <c r="K339" s="4">
        <f t="shared" si="93"/>
        <v>0.91575194527173087</v>
      </c>
      <c r="M339" s="6">
        <f t="shared" si="94"/>
        <v>278.11867970346759</v>
      </c>
      <c r="N339" s="6">
        <f t="shared" si="95"/>
        <v>317.10408385891219</v>
      </c>
      <c r="O339" s="6">
        <f t="shared" si="96"/>
        <v>4.2383561643835614</v>
      </c>
      <c r="P339" s="6">
        <f t="shared" si="97"/>
        <v>89.005479452054786</v>
      </c>
      <c r="Q339" t="str">
        <f t="shared" si="98"/>
        <v>B</v>
      </c>
      <c r="R339" s="6">
        <f t="shared" si="99"/>
        <v>139.0593398517338</v>
      </c>
      <c r="S339" s="6">
        <f t="shared" si="100"/>
        <v>11.124747188138704</v>
      </c>
      <c r="T339" s="6">
        <f t="shared" si="101"/>
        <v>278.11867970346759</v>
      </c>
      <c r="U339" s="6">
        <f t="shared" si="102"/>
        <v>69.529669925866898</v>
      </c>
      <c r="V339" s="6">
        <f t="shared" si="103"/>
        <v>347.64834962933446</v>
      </c>
      <c r="W339">
        <v>99</v>
      </c>
      <c r="X339" t="str">
        <f t="shared" si="104"/>
        <v>OK</v>
      </c>
      <c r="Y339" s="6">
        <f t="shared" si="105"/>
        <v>26</v>
      </c>
      <c r="Z339" s="6">
        <f t="shared" si="106"/>
        <v>104</v>
      </c>
    </row>
    <row r="340" spans="1:26" x14ac:dyDescent="0.3">
      <c r="A340" s="3" t="str">
        <f t="shared" si="90"/>
        <v>SKU339</v>
      </c>
      <c r="B340" s="3">
        <v>451</v>
      </c>
      <c r="C340" s="3">
        <f t="shared" si="92"/>
        <v>586.30000000000007</v>
      </c>
      <c r="D340" s="3">
        <v>63.89</v>
      </c>
      <c r="E340" s="3">
        <v>26</v>
      </c>
      <c r="F340" s="3" t="str" cm="1">
        <f t="array" aca="1" ref="F340" ca="1">INDEX({"Electronics","Clothing","Food","Furniture"}, RANDBETWEEN(1,4))</f>
        <v>Electronics</v>
      </c>
      <c r="G340" s="3">
        <v>50</v>
      </c>
      <c r="H340" s="3">
        <v>2</v>
      </c>
      <c r="I340" s="3">
        <f t="shared" si="91"/>
        <v>28814.39</v>
      </c>
      <c r="J340" s="3">
        <f t="shared" si="107"/>
        <v>26717492.919999994</v>
      </c>
      <c r="K340" s="4">
        <f t="shared" si="93"/>
        <v>0.916740635426047</v>
      </c>
      <c r="M340" s="6">
        <f t="shared" si="94"/>
        <v>150.16657417681208</v>
      </c>
      <c r="N340" s="6">
        <f t="shared" si="95"/>
        <v>171.21623754772793</v>
      </c>
      <c r="O340" s="6">
        <f t="shared" si="96"/>
        <v>1.2356164383561643</v>
      </c>
      <c r="P340" s="6">
        <f t="shared" si="97"/>
        <v>32.126027397260273</v>
      </c>
      <c r="Q340" t="str">
        <f t="shared" si="98"/>
        <v>B</v>
      </c>
      <c r="R340" s="6">
        <f t="shared" si="99"/>
        <v>75.083287088406038</v>
      </c>
      <c r="S340" s="6">
        <f t="shared" si="100"/>
        <v>6.006662967072482</v>
      </c>
      <c r="T340" s="6">
        <f t="shared" si="101"/>
        <v>150.16657417681205</v>
      </c>
      <c r="U340" s="6">
        <f t="shared" si="102"/>
        <v>37.541643544203019</v>
      </c>
      <c r="V340" s="6">
        <f t="shared" si="103"/>
        <v>187.70821772101507</v>
      </c>
      <c r="W340">
        <v>18</v>
      </c>
      <c r="X340" t="str">
        <f t="shared" si="104"/>
        <v>ALERT</v>
      </c>
      <c r="Y340" s="6">
        <f t="shared" si="105"/>
        <v>31</v>
      </c>
      <c r="Z340" s="6">
        <f t="shared" si="106"/>
        <v>31</v>
      </c>
    </row>
    <row r="341" spans="1:26" x14ac:dyDescent="0.3">
      <c r="A341" s="3" t="str">
        <f t="shared" si="90"/>
        <v>SKU340</v>
      </c>
      <c r="B341" s="3">
        <v>753</v>
      </c>
      <c r="C341" s="3">
        <f t="shared" si="92"/>
        <v>978.9</v>
      </c>
      <c r="D341" s="3">
        <v>38.24</v>
      </c>
      <c r="E341" s="3">
        <v>18</v>
      </c>
      <c r="F341" s="3" t="str" cm="1">
        <f t="array" aca="1" ref="F341" ca="1">INDEX({"Electronics","Clothing","Food","Furniture"}, RANDBETWEEN(1,4))</f>
        <v>Electronics</v>
      </c>
      <c r="G341" s="3">
        <v>50</v>
      </c>
      <c r="H341" s="3">
        <v>2</v>
      </c>
      <c r="I341" s="3">
        <f t="shared" si="91"/>
        <v>28794.720000000001</v>
      </c>
      <c r="J341" s="3">
        <f t="shared" si="107"/>
        <v>26746287.639999993</v>
      </c>
      <c r="K341" s="4">
        <f t="shared" si="93"/>
        <v>0.91772865065594733</v>
      </c>
      <c r="M341" s="6">
        <f t="shared" si="94"/>
        <v>194.03607911932255</v>
      </c>
      <c r="N341" s="6">
        <f t="shared" si="95"/>
        <v>221.23516899444357</v>
      </c>
      <c r="O341" s="6">
        <f t="shared" si="96"/>
        <v>2.0630136986301371</v>
      </c>
      <c r="P341" s="6">
        <f t="shared" si="97"/>
        <v>37.134246575342466</v>
      </c>
      <c r="Q341" t="str">
        <f t="shared" si="98"/>
        <v>B</v>
      </c>
      <c r="R341" s="6">
        <f t="shared" si="99"/>
        <v>97.018039559661275</v>
      </c>
      <c r="S341" s="6">
        <f t="shared" si="100"/>
        <v>7.7614431647729019</v>
      </c>
      <c r="T341" s="6">
        <f t="shared" si="101"/>
        <v>194.03607911932255</v>
      </c>
      <c r="U341" s="6">
        <f t="shared" si="102"/>
        <v>48.509019779830638</v>
      </c>
      <c r="V341" s="6">
        <f t="shared" si="103"/>
        <v>242.54509889915317</v>
      </c>
      <c r="W341">
        <v>51</v>
      </c>
      <c r="X341" t="str">
        <f t="shared" si="104"/>
        <v>OK</v>
      </c>
      <c r="Y341" s="6">
        <f t="shared" si="105"/>
        <v>23</v>
      </c>
      <c r="Z341" s="6">
        <f t="shared" si="106"/>
        <v>46</v>
      </c>
    </row>
    <row r="342" spans="1:26" x14ac:dyDescent="0.3">
      <c r="A342" s="3" t="str">
        <f t="shared" si="90"/>
        <v>SKU341</v>
      </c>
      <c r="B342" s="3">
        <v>523</v>
      </c>
      <c r="C342" s="3">
        <f t="shared" si="92"/>
        <v>679.9</v>
      </c>
      <c r="D342" s="3">
        <v>54.83</v>
      </c>
      <c r="E342" s="3">
        <v>12</v>
      </c>
      <c r="F342" s="3" t="str" cm="1">
        <f t="array" aca="1" ref="F342" ca="1">INDEX({"Electronics","Clothing","Food","Furniture"}, RANDBETWEEN(1,4))</f>
        <v>Clothing</v>
      </c>
      <c r="G342" s="3">
        <v>50</v>
      </c>
      <c r="H342" s="3">
        <v>2</v>
      </c>
      <c r="I342" s="3">
        <f t="shared" si="91"/>
        <v>28676.09</v>
      </c>
      <c r="J342" s="3">
        <f t="shared" si="107"/>
        <v>26774963.729999993</v>
      </c>
      <c r="K342" s="4">
        <f t="shared" si="93"/>
        <v>0.91871259540880457</v>
      </c>
      <c r="M342" s="6">
        <f t="shared" si="94"/>
        <v>161.70961628796229</v>
      </c>
      <c r="N342" s="6">
        <f t="shared" si="95"/>
        <v>184.37733049374589</v>
      </c>
      <c r="O342" s="6">
        <f t="shared" si="96"/>
        <v>1.4328767123287671</v>
      </c>
      <c r="P342" s="6">
        <f t="shared" si="97"/>
        <v>17.194520547945206</v>
      </c>
      <c r="Q342" t="str">
        <f t="shared" si="98"/>
        <v>B</v>
      </c>
      <c r="R342" s="6">
        <f t="shared" si="99"/>
        <v>80.854808143981145</v>
      </c>
      <c r="S342" s="6">
        <f t="shared" si="100"/>
        <v>6.468384651518492</v>
      </c>
      <c r="T342" s="6">
        <f t="shared" si="101"/>
        <v>161.70961628796229</v>
      </c>
      <c r="U342" s="6">
        <f t="shared" si="102"/>
        <v>40.427404071990573</v>
      </c>
      <c r="V342" s="6">
        <f t="shared" si="103"/>
        <v>202.13702035995286</v>
      </c>
      <c r="W342">
        <v>12</v>
      </c>
      <c r="X342" t="str">
        <f t="shared" si="104"/>
        <v>ALERT</v>
      </c>
      <c r="Y342" s="6">
        <f t="shared" si="105"/>
        <v>17</v>
      </c>
      <c r="Z342" s="6">
        <f t="shared" si="106"/>
        <v>17</v>
      </c>
    </row>
    <row r="343" spans="1:26" x14ac:dyDescent="0.3">
      <c r="A343" s="3" t="str">
        <f t="shared" si="90"/>
        <v>SKU342</v>
      </c>
      <c r="B343" s="3">
        <v>746</v>
      </c>
      <c r="C343" s="3">
        <f t="shared" si="92"/>
        <v>969.80000000000007</v>
      </c>
      <c r="D343" s="3">
        <v>38.409999999999997</v>
      </c>
      <c r="E343" s="3">
        <v>18</v>
      </c>
      <c r="F343" s="3" t="str" cm="1">
        <f t="array" aca="1" ref="F343" ca="1">INDEX({"Electronics","Clothing","Food","Furniture"}, RANDBETWEEN(1,4))</f>
        <v>Electronics</v>
      </c>
      <c r="G343" s="3">
        <v>50</v>
      </c>
      <c r="H343" s="3">
        <v>2</v>
      </c>
      <c r="I343" s="3">
        <f t="shared" si="91"/>
        <v>28653.859999999997</v>
      </c>
      <c r="J343" s="3">
        <f t="shared" si="107"/>
        <v>26803617.589999992</v>
      </c>
      <c r="K343" s="4">
        <f t="shared" si="93"/>
        <v>0.91969577739756614</v>
      </c>
      <c r="M343" s="6">
        <f t="shared" si="94"/>
        <v>193.13207915827965</v>
      </c>
      <c r="N343" s="6">
        <f t="shared" si="95"/>
        <v>220.20445045457188</v>
      </c>
      <c r="O343" s="6">
        <f t="shared" si="96"/>
        <v>2.043835616438356</v>
      </c>
      <c r="P343" s="6">
        <f t="shared" si="97"/>
        <v>36.789041095890411</v>
      </c>
      <c r="Q343" t="str">
        <f t="shared" si="98"/>
        <v>B</v>
      </c>
      <c r="R343" s="6">
        <f t="shared" si="99"/>
        <v>96.566039579139826</v>
      </c>
      <c r="S343" s="6">
        <f t="shared" si="100"/>
        <v>7.7252831663311863</v>
      </c>
      <c r="T343" s="6">
        <f t="shared" si="101"/>
        <v>193.13207915827965</v>
      </c>
      <c r="U343" s="6">
        <f t="shared" si="102"/>
        <v>48.283019789569913</v>
      </c>
      <c r="V343" s="6">
        <f t="shared" si="103"/>
        <v>241.41509894784957</v>
      </c>
      <c r="W343">
        <v>79</v>
      </c>
      <c r="X343" t="str">
        <f t="shared" si="104"/>
        <v>OK</v>
      </c>
      <c r="Y343" s="6">
        <f t="shared" si="105"/>
        <v>23</v>
      </c>
      <c r="Z343" s="6">
        <f t="shared" si="106"/>
        <v>46</v>
      </c>
    </row>
    <row r="344" spans="1:26" x14ac:dyDescent="0.3">
      <c r="A344" s="3" t="str">
        <f t="shared" si="90"/>
        <v>SKU343</v>
      </c>
      <c r="B344" s="3">
        <v>1857</v>
      </c>
      <c r="C344" s="3">
        <f t="shared" si="92"/>
        <v>2414.1</v>
      </c>
      <c r="D344" s="3">
        <v>15.38</v>
      </c>
      <c r="E344" s="3">
        <v>22</v>
      </c>
      <c r="F344" s="3" t="str" cm="1">
        <f t="array" aca="1" ref="F344" ca="1">INDEX({"Electronics","Clothing","Food","Furniture"}, RANDBETWEEN(1,4))</f>
        <v>Clothing</v>
      </c>
      <c r="G344" s="3">
        <v>50</v>
      </c>
      <c r="H344" s="3">
        <v>2</v>
      </c>
      <c r="I344" s="3">
        <f t="shared" si="91"/>
        <v>28560.66</v>
      </c>
      <c r="J344" s="3">
        <f t="shared" si="107"/>
        <v>26832178.249999993</v>
      </c>
      <c r="K344" s="4">
        <f t="shared" si="93"/>
        <v>0.92067576147298014</v>
      </c>
      <c r="M344" s="6">
        <f t="shared" si="94"/>
        <v>304.71297970385183</v>
      </c>
      <c r="N344" s="6">
        <f t="shared" si="95"/>
        <v>347.42625116706421</v>
      </c>
      <c r="O344" s="6">
        <f t="shared" si="96"/>
        <v>5.087671232876712</v>
      </c>
      <c r="P344" s="6">
        <f t="shared" si="97"/>
        <v>111.92876712328766</v>
      </c>
      <c r="Q344" t="str">
        <f t="shared" si="98"/>
        <v>B</v>
      </c>
      <c r="R344" s="6">
        <f t="shared" si="99"/>
        <v>152.35648985192591</v>
      </c>
      <c r="S344" s="6">
        <f t="shared" si="100"/>
        <v>12.188519188154071</v>
      </c>
      <c r="T344" s="6">
        <f t="shared" si="101"/>
        <v>304.71297970385177</v>
      </c>
      <c r="U344" s="6">
        <f t="shared" si="102"/>
        <v>76.178244925962957</v>
      </c>
      <c r="V344" s="6">
        <f t="shared" si="103"/>
        <v>380.8912246298147</v>
      </c>
      <c r="W344">
        <v>104</v>
      </c>
      <c r="X344" t="str">
        <f t="shared" si="104"/>
        <v>ALERT</v>
      </c>
      <c r="Y344" s="6">
        <f t="shared" si="105"/>
        <v>27</v>
      </c>
      <c r="Z344" s="6">
        <f t="shared" si="106"/>
        <v>135</v>
      </c>
    </row>
    <row r="345" spans="1:26" x14ac:dyDescent="0.3">
      <c r="A345" s="3" t="str">
        <f t="shared" si="90"/>
        <v>SKU344</v>
      </c>
      <c r="B345" s="3">
        <v>1618</v>
      </c>
      <c r="C345" s="3">
        <f t="shared" si="92"/>
        <v>2103.4</v>
      </c>
      <c r="D345" s="3">
        <v>17.62</v>
      </c>
      <c r="E345" s="3">
        <v>22</v>
      </c>
      <c r="F345" s="3" t="str" cm="1">
        <f t="array" aca="1" ref="F345" ca="1">INDEX({"Electronics","Clothing","Food","Furniture"}, RANDBETWEEN(1,4))</f>
        <v>Electronics</v>
      </c>
      <c r="G345" s="3">
        <v>50</v>
      </c>
      <c r="H345" s="3">
        <v>2</v>
      </c>
      <c r="I345" s="3">
        <f t="shared" si="91"/>
        <v>28509.16</v>
      </c>
      <c r="J345" s="3">
        <f t="shared" si="107"/>
        <v>26860687.409999993</v>
      </c>
      <c r="K345" s="4">
        <f t="shared" si="93"/>
        <v>0.9216539784610831</v>
      </c>
      <c r="M345" s="6">
        <f t="shared" si="94"/>
        <v>284.42925306655786</v>
      </c>
      <c r="N345" s="6">
        <f t="shared" si="95"/>
        <v>324.29924452579286</v>
      </c>
      <c r="O345" s="6">
        <f t="shared" si="96"/>
        <v>4.4328767123287669</v>
      </c>
      <c r="P345" s="6">
        <f t="shared" si="97"/>
        <v>97.523287671232879</v>
      </c>
      <c r="Q345" t="str">
        <f t="shared" si="98"/>
        <v>B</v>
      </c>
      <c r="R345" s="6">
        <f t="shared" si="99"/>
        <v>142.21462653327893</v>
      </c>
      <c r="S345" s="6">
        <f t="shared" si="100"/>
        <v>11.377170122662312</v>
      </c>
      <c r="T345" s="6">
        <f t="shared" si="101"/>
        <v>284.42925306655781</v>
      </c>
      <c r="U345" s="6">
        <f t="shared" si="102"/>
        <v>71.107313266639466</v>
      </c>
      <c r="V345" s="6">
        <f t="shared" si="103"/>
        <v>355.53656633319724</v>
      </c>
      <c r="W345">
        <v>104</v>
      </c>
      <c r="X345" t="str">
        <f t="shared" si="104"/>
        <v>OK</v>
      </c>
      <c r="Y345" s="6">
        <f t="shared" si="105"/>
        <v>27</v>
      </c>
      <c r="Z345" s="6">
        <f t="shared" si="106"/>
        <v>108</v>
      </c>
    </row>
    <row r="346" spans="1:26" x14ac:dyDescent="0.3">
      <c r="A346" s="3" t="str">
        <f t="shared" si="90"/>
        <v>SKU345</v>
      </c>
      <c r="B346" s="3">
        <v>378</v>
      </c>
      <c r="C346" s="3">
        <f t="shared" si="92"/>
        <v>491.40000000000003</v>
      </c>
      <c r="D346" s="3">
        <v>75.19</v>
      </c>
      <c r="E346" s="3">
        <v>9</v>
      </c>
      <c r="F346" s="3" t="str" cm="1">
        <f t="array" aca="1" ref="F346" ca="1">INDEX({"Electronics","Clothing","Food","Furniture"}, RANDBETWEEN(1,4))</f>
        <v>Electronics</v>
      </c>
      <c r="G346" s="3">
        <v>50</v>
      </c>
      <c r="H346" s="3">
        <v>2</v>
      </c>
      <c r="I346" s="3">
        <f t="shared" si="91"/>
        <v>28421.82</v>
      </c>
      <c r="J346" s="3">
        <f t="shared" si="107"/>
        <v>26889109.229999993</v>
      </c>
      <c r="K346" s="4">
        <f t="shared" si="93"/>
        <v>0.92262919860635573</v>
      </c>
      <c r="M346" s="6">
        <f t="shared" si="94"/>
        <v>137.4772708486752</v>
      </c>
      <c r="N346" s="6">
        <f t="shared" si="95"/>
        <v>156.74820573135759</v>
      </c>
      <c r="O346" s="6">
        <f t="shared" si="96"/>
        <v>1.0356164383561643</v>
      </c>
      <c r="P346" s="6">
        <f t="shared" si="97"/>
        <v>9.3205479452054796</v>
      </c>
      <c r="Q346" t="str">
        <f t="shared" si="98"/>
        <v>B</v>
      </c>
      <c r="R346" s="6">
        <f t="shared" si="99"/>
        <v>68.738635424337602</v>
      </c>
      <c r="S346" s="6">
        <f t="shared" si="100"/>
        <v>5.4990908339470082</v>
      </c>
      <c r="T346" s="6">
        <f t="shared" si="101"/>
        <v>137.4772708486752</v>
      </c>
      <c r="U346" s="6">
        <f t="shared" si="102"/>
        <v>34.369317712168801</v>
      </c>
      <c r="V346" s="6">
        <f t="shared" si="103"/>
        <v>171.846588560844</v>
      </c>
      <c r="W346">
        <v>3</v>
      </c>
      <c r="X346" t="str">
        <f t="shared" si="104"/>
        <v>ALERT</v>
      </c>
      <c r="Y346" s="6">
        <f t="shared" si="105"/>
        <v>14</v>
      </c>
      <c r="Z346" s="6">
        <f t="shared" si="106"/>
        <v>14</v>
      </c>
    </row>
    <row r="347" spans="1:26" x14ac:dyDescent="0.3">
      <c r="A347" s="3" t="str">
        <f t="shared" si="90"/>
        <v>SKU346</v>
      </c>
      <c r="B347" s="3">
        <v>400</v>
      </c>
      <c r="C347" s="3">
        <f t="shared" si="92"/>
        <v>520</v>
      </c>
      <c r="D347" s="3">
        <v>70.5</v>
      </c>
      <c r="E347" s="3">
        <v>11</v>
      </c>
      <c r="F347" s="3" t="str" cm="1">
        <f t="array" aca="1" ref="F347" ca="1">INDEX({"Electronics","Clothing","Food","Furniture"}, RANDBETWEEN(1,4))</f>
        <v>Electronics</v>
      </c>
      <c r="G347" s="3">
        <v>50</v>
      </c>
      <c r="H347" s="3">
        <v>2</v>
      </c>
      <c r="I347" s="3">
        <f t="shared" si="91"/>
        <v>28200</v>
      </c>
      <c r="J347" s="3">
        <f t="shared" si="107"/>
        <v>26917309.229999993</v>
      </c>
      <c r="K347" s="4">
        <f t="shared" si="93"/>
        <v>0.9235968075806118</v>
      </c>
      <c r="M347" s="6">
        <f t="shared" si="94"/>
        <v>141.42135623730951</v>
      </c>
      <c r="N347" s="6">
        <f t="shared" si="95"/>
        <v>161.24515496597098</v>
      </c>
      <c r="O347" s="6">
        <f t="shared" si="96"/>
        <v>1.095890410958904</v>
      </c>
      <c r="P347" s="6">
        <f t="shared" si="97"/>
        <v>12.054794520547944</v>
      </c>
      <c r="Q347" t="str">
        <f t="shared" si="98"/>
        <v>B</v>
      </c>
      <c r="R347" s="6">
        <f t="shared" si="99"/>
        <v>70.710678118654755</v>
      </c>
      <c r="S347" s="6">
        <f t="shared" si="100"/>
        <v>5.6568542494923797</v>
      </c>
      <c r="T347" s="6">
        <f t="shared" si="101"/>
        <v>141.42135623730948</v>
      </c>
      <c r="U347" s="6">
        <f t="shared" si="102"/>
        <v>35.355339059327378</v>
      </c>
      <c r="V347" s="6">
        <f t="shared" si="103"/>
        <v>176.77669529663686</v>
      </c>
      <c r="W347">
        <v>27</v>
      </c>
      <c r="X347" t="str">
        <f t="shared" si="104"/>
        <v>OK</v>
      </c>
      <c r="Y347" s="6">
        <f t="shared" si="105"/>
        <v>16</v>
      </c>
      <c r="Z347" s="6">
        <f t="shared" si="106"/>
        <v>16</v>
      </c>
    </row>
    <row r="348" spans="1:26" x14ac:dyDescent="0.3">
      <c r="A348" s="3" t="str">
        <f t="shared" si="90"/>
        <v>SKU347</v>
      </c>
      <c r="B348" s="3">
        <v>687</v>
      </c>
      <c r="C348" s="3">
        <f t="shared" si="92"/>
        <v>893.1</v>
      </c>
      <c r="D348" s="3">
        <v>40.78</v>
      </c>
      <c r="E348" s="3">
        <v>16</v>
      </c>
      <c r="F348" s="3" t="str" cm="1">
        <f t="array" aca="1" ref="F348" ca="1">INDEX({"Electronics","Clothing","Food","Furniture"}, RANDBETWEEN(1,4))</f>
        <v>Furniture</v>
      </c>
      <c r="G348" s="3">
        <v>50</v>
      </c>
      <c r="H348" s="3">
        <v>2</v>
      </c>
      <c r="I348" s="3">
        <f t="shared" si="91"/>
        <v>28015.86</v>
      </c>
      <c r="J348" s="3">
        <f t="shared" si="107"/>
        <v>26945325.089999992</v>
      </c>
      <c r="K348" s="4">
        <f t="shared" si="93"/>
        <v>0.92455809827414026</v>
      </c>
      <c r="M348" s="6">
        <f t="shared" si="94"/>
        <v>185.3375299285064</v>
      </c>
      <c r="N348" s="6">
        <f t="shared" si="95"/>
        <v>211.31729697305897</v>
      </c>
      <c r="O348" s="6">
        <f t="shared" si="96"/>
        <v>1.8821917808219177</v>
      </c>
      <c r="P348" s="6">
        <f t="shared" si="97"/>
        <v>30.115068493150684</v>
      </c>
      <c r="Q348" t="str">
        <f t="shared" si="98"/>
        <v>B</v>
      </c>
      <c r="R348" s="6">
        <f t="shared" si="99"/>
        <v>92.668764964253199</v>
      </c>
      <c r="S348" s="6">
        <f t="shared" si="100"/>
        <v>7.4135011971402545</v>
      </c>
      <c r="T348" s="6">
        <f t="shared" si="101"/>
        <v>185.33752992850637</v>
      </c>
      <c r="U348" s="6">
        <f t="shared" si="102"/>
        <v>46.3343824821266</v>
      </c>
      <c r="V348" s="6">
        <f t="shared" si="103"/>
        <v>231.67191241063296</v>
      </c>
      <c r="W348">
        <v>28</v>
      </c>
      <c r="X348" t="str">
        <f t="shared" si="104"/>
        <v>ALERT</v>
      </c>
      <c r="Y348" s="6">
        <f t="shared" si="105"/>
        <v>21</v>
      </c>
      <c r="Z348" s="6">
        <f t="shared" si="106"/>
        <v>42</v>
      </c>
    </row>
    <row r="349" spans="1:26" x14ac:dyDescent="0.3">
      <c r="A349" s="3" t="str">
        <f t="shared" si="90"/>
        <v>SKU348</v>
      </c>
      <c r="B349" s="3">
        <v>1415</v>
      </c>
      <c r="C349" s="3">
        <f t="shared" si="92"/>
        <v>1839.5</v>
      </c>
      <c r="D349" s="3">
        <v>19.54</v>
      </c>
      <c r="E349" s="3">
        <v>24</v>
      </c>
      <c r="F349" s="3" t="str" cm="1">
        <f t="array" aca="1" ref="F349" ca="1">INDEX({"Electronics","Clothing","Food","Furniture"}, RANDBETWEEN(1,4))</f>
        <v>Electronics</v>
      </c>
      <c r="G349" s="3">
        <v>50</v>
      </c>
      <c r="H349" s="3">
        <v>2</v>
      </c>
      <c r="I349" s="3">
        <f t="shared" si="91"/>
        <v>27649.1</v>
      </c>
      <c r="J349" s="3">
        <f t="shared" si="107"/>
        <v>26972974.189999994</v>
      </c>
      <c r="K349" s="4">
        <f t="shared" si="93"/>
        <v>0.9255068045610233</v>
      </c>
      <c r="M349" s="6">
        <f t="shared" si="94"/>
        <v>265.98872156540773</v>
      </c>
      <c r="N349" s="6">
        <f t="shared" si="95"/>
        <v>303.27380368241501</v>
      </c>
      <c r="O349" s="6">
        <f t="shared" si="96"/>
        <v>3.8767123287671232</v>
      </c>
      <c r="P349" s="6">
        <f t="shared" si="97"/>
        <v>93.041095890410958</v>
      </c>
      <c r="Q349" t="str">
        <f t="shared" si="98"/>
        <v>B</v>
      </c>
      <c r="R349" s="6">
        <f t="shared" si="99"/>
        <v>132.99436078270386</v>
      </c>
      <c r="S349" s="6">
        <f t="shared" si="100"/>
        <v>10.639548862616309</v>
      </c>
      <c r="T349" s="6">
        <f t="shared" si="101"/>
        <v>265.98872156540773</v>
      </c>
      <c r="U349" s="6">
        <f t="shared" si="102"/>
        <v>66.497180391351932</v>
      </c>
      <c r="V349" s="6">
        <f t="shared" si="103"/>
        <v>332.48590195675968</v>
      </c>
      <c r="W349">
        <v>133</v>
      </c>
      <c r="X349" t="str">
        <f t="shared" si="104"/>
        <v>OK</v>
      </c>
      <c r="Y349" s="6">
        <f t="shared" si="105"/>
        <v>29</v>
      </c>
      <c r="Z349" s="6">
        <f t="shared" si="106"/>
        <v>116</v>
      </c>
    </row>
    <row r="350" spans="1:26" x14ac:dyDescent="0.3">
      <c r="A350" s="3" t="str">
        <f t="shared" si="90"/>
        <v>SKU349</v>
      </c>
      <c r="B350" s="3">
        <v>1038</v>
      </c>
      <c r="C350" s="3">
        <f t="shared" si="92"/>
        <v>1349.4</v>
      </c>
      <c r="D350" s="3">
        <v>26.49</v>
      </c>
      <c r="E350" s="3">
        <v>2</v>
      </c>
      <c r="F350" s="3" t="str" cm="1">
        <f t="array" aca="1" ref="F350" ca="1">INDEX({"Electronics","Clothing","Food","Furniture"}, RANDBETWEEN(1,4))</f>
        <v>Electronics</v>
      </c>
      <c r="G350" s="3">
        <v>50</v>
      </c>
      <c r="H350" s="3">
        <v>2</v>
      </c>
      <c r="I350" s="3">
        <f t="shared" si="91"/>
        <v>27496.62</v>
      </c>
      <c r="J350" s="3">
        <f t="shared" si="107"/>
        <v>27000470.809999995</v>
      </c>
      <c r="K350" s="4">
        <f t="shared" si="93"/>
        <v>0.92645027889697051</v>
      </c>
      <c r="M350" s="6">
        <f t="shared" si="94"/>
        <v>227.81571499789035</v>
      </c>
      <c r="N350" s="6">
        <f t="shared" si="95"/>
        <v>259.74987969198366</v>
      </c>
      <c r="O350" s="6">
        <f t="shared" si="96"/>
        <v>2.8438356164383563</v>
      </c>
      <c r="P350" s="6">
        <f t="shared" si="97"/>
        <v>5.6876712328767125</v>
      </c>
      <c r="Q350" t="str">
        <f t="shared" si="98"/>
        <v>B</v>
      </c>
      <c r="R350" s="6">
        <f t="shared" si="99"/>
        <v>113.90785749894518</v>
      </c>
      <c r="S350" s="6">
        <f t="shared" si="100"/>
        <v>9.1126285999156131</v>
      </c>
      <c r="T350" s="6">
        <f t="shared" si="101"/>
        <v>227.81571499789032</v>
      </c>
      <c r="U350" s="6">
        <f t="shared" si="102"/>
        <v>56.953928749472588</v>
      </c>
      <c r="V350" s="6">
        <f t="shared" si="103"/>
        <v>284.76964374736292</v>
      </c>
      <c r="W350">
        <v>23</v>
      </c>
      <c r="X350" t="str">
        <f t="shared" si="104"/>
        <v>OK</v>
      </c>
      <c r="Y350" s="6">
        <f t="shared" si="105"/>
        <v>7</v>
      </c>
      <c r="Z350" s="6">
        <f t="shared" si="106"/>
        <v>21</v>
      </c>
    </row>
    <row r="351" spans="1:26" x14ac:dyDescent="0.3">
      <c r="A351" s="3" t="str">
        <f t="shared" si="90"/>
        <v>SKU350</v>
      </c>
      <c r="B351" s="3">
        <v>914</v>
      </c>
      <c r="C351" s="3">
        <f t="shared" si="92"/>
        <v>1188.2</v>
      </c>
      <c r="D351" s="3">
        <v>29.87</v>
      </c>
      <c r="E351" s="3">
        <v>20</v>
      </c>
      <c r="F351" s="3" t="str" cm="1">
        <f t="array" aca="1" ref="F351" ca="1">INDEX({"Electronics","Clothing","Food","Furniture"}, RANDBETWEEN(1,4))</f>
        <v>Clothing</v>
      </c>
      <c r="G351" s="3">
        <v>50</v>
      </c>
      <c r="H351" s="3">
        <v>2</v>
      </c>
      <c r="I351" s="3">
        <f t="shared" si="91"/>
        <v>27301.18</v>
      </c>
      <c r="J351" s="3">
        <f t="shared" si="107"/>
        <v>27027771.989999995</v>
      </c>
      <c r="K351" s="4">
        <f t="shared" si="93"/>
        <v>0.92738704722235277</v>
      </c>
      <c r="M351" s="6">
        <f t="shared" si="94"/>
        <v>213.77558326431949</v>
      </c>
      <c r="N351" s="6">
        <f t="shared" si="95"/>
        <v>243.74166652421167</v>
      </c>
      <c r="O351" s="6">
        <f t="shared" si="96"/>
        <v>2.504109589041096</v>
      </c>
      <c r="P351" s="6">
        <f t="shared" si="97"/>
        <v>50.082191780821923</v>
      </c>
      <c r="Q351" t="str">
        <f t="shared" si="98"/>
        <v>B</v>
      </c>
      <c r="R351" s="6">
        <f t="shared" si="99"/>
        <v>106.88779163215975</v>
      </c>
      <c r="S351" s="6">
        <f t="shared" si="100"/>
        <v>8.5510233305727805</v>
      </c>
      <c r="T351" s="6">
        <f t="shared" si="101"/>
        <v>213.77558326431952</v>
      </c>
      <c r="U351" s="6">
        <f t="shared" si="102"/>
        <v>53.443895816079873</v>
      </c>
      <c r="V351" s="6">
        <f t="shared" si="103"/>
        <v>267.21947908039942</v>
      </c>
      <c r="W351">
        <v>73</v>
      </c>
      <c r="X351" t="str">
        <f t="shared" si="104"/>
        <v>OK</v>
      </c>
      <c r="Y351" s="6">
        <f t="shared" si="105"/>
        <v>25</v>
      </c>
      <c r="Z351" s="6">
        <f t="shared" si="106"/>
        <v>75</v>
      </c>
    </row>
    <row r="352" spans="1:26" x14ac:dyDescent="0.3">
      <c r="A352" s="3" t="str">
        <f t="shared" si="90"/>
        <v>SKU351</v>
      </c>
      <c r="B352" s="3">
        <v>950</v>
      </c>
      <c r="C352" s="3">
        <f t="shared" si="92"/>
        <v>1235</v>
      </c>
      <c r="D352" s="3">
        <v>28.54</v>
      </c>
      <c r="E352" s="3">
        <v>6</v>
      </c>
      <c r="F352" s="3" t="str" cm="1">
        <f t="array" aca="1" ref="F352" ca="1">INDEX({"Electronics","Clothing","Food","Furniture"}, RANDBETWEEN(1,4))</f>
        <v>Electronics</v>
      </c>
      <c r="G352" s="3">
        <v>50</v>
      </c>
      <c r="H352" s="3">
        <v>2</v>
      </c>
      <c r="I352" s="3">
        <f t="shared" si="91"/>
        <v>27113</v>
      </c>
      <c r="J352" s="3">
        <f t="shared" si="107"/>
        <v>27054884.989999995</v>
      </c>
      <c r="K352" s="4">
        <f t="shared" si="93"/>
        <v>0.92831735864501241</v>
      </c>
      <c r="M352" s="6">
        <f t="shared" si="94"/>
        <v>217.94494717703367</v>
      </c>
      <c r="N352" s="6">
        <f t="shared" si="95"/>
        <v>248.49547279578354</v>
      </c>
      <c r="O352" s="6">
        <f t="shared" si="96"/>
        <v>2.6027397260273974</v>
      </c>
      <c r="P352" s="6">
        <f t="shared" si="97"/>
        <v>15.616438356164384</v>
      </c>
      <c r="Q352" t="str">
        <f t="shared" si="98"/>
        <v>B</v>
      </c>
      <c r="R352" s="6">
        <f t="shared" si="99"/>
        <v>108.97247358851683</v>
      </c>
      <c r="S352" s="6">
        <f t="shared" si="100"/>
        <v>8.717797887081348</v>
      </c>
      <c r="T352" s="6">
        <f t="shared" si="101"/>
        <v>217.9449471770337</v>
      </c>
      <c r="U352" s="6">
        <f t="shared" si="102"/>
        <v>54.486236794258417</v>
      </c>
      <c r="V352" s="6">
        <f t="shared" si="103"/>
        <v>272.43118397129211</v>
      </c>
      <c r="W352">
        <v>20</v>
      </c>
      <c r="X352" t="str">
        <f t="shared" si="104"/>
        <v>OK</v>
      </c>
      <c r="Y352" s="6">
        <f t="shared" si="105"/>
        <v>11</v>
      </c>
      <c r="Z352" s="6">
        <f t="shared" si="106"/>
        <v>33</v>
      </c>
    </row>
    <row r="353" spans="1:26" x14ac:dyDescent="0.3">
      <c r="A353" s="3" t="str">
        <f t="shared" si="90"/>
        <v>SKU352</v>
      </c>
      <c r="B353" s="3">
        <v>576</v>
      </c>
      <c r="C353" s="3">
        <f t="shared" si="92"/>
        <v>748.80000000000007</v>
      </c>
      <c r="D353" s="3">
        <v>46.38</v>
      </c>
      <c r="E353" s="3">
        <v>21</v>
      </c>
      <c r="F353" s="3" t="str" cm="1">
        <f t="array" aca="1" ref="F353" ca="1">INDEX({"Electronics","Clothing","Food","Furniture"}, RANDBETWEEN(1,4))</f>
        <v>Food</v>
      </c>
      <c r="G353" s="3">
        <v>50</v>
      </c>
      <c r="H353" s="3">
        <v>2</v>
      </c>
      <c r="I353" s="3">
        <f t="shared" si="91"/>
        <v>26714.880000000001</v>
      </c>
      <c r="J353" s="3">
        <f t="shared" si="107"/>
        <v>27081599.869999994</v>
      </c>
      <c r="K353" s="4">
        <f t="shared" si="93"/>
        <v>0.92923400962494762</v>
      </c>
      <c r="M353" s="6">
        <f t="shared" si="94"/>
        <v>169.70562748477141</v>
      </c>
      <c r="N353" s="6">
        <f t="shared" si="95"/>
        <v>193.49418595916518</v>
      </c>
      <c r="O353" s="6">
        <f t="shared" si="96"/>
        <v>1.5780821917808219</v>
      </c>
      <c r="P353" s="6">
        <f t="shared" si="97"/>
        <v>33.139726027397259</v>
      </c>
      <c r="Q353" t="str">
        <f t="shared" si="98"/>
        <v>B</v>
      </c>
      <c r="R353" s="6">
        <f t="shared" si="99"/>
        <v>84.852813742385706</v>
      </c>
      <c r="S353" s="6">
        <f t="shared" si="100"/>
        <v>6.7882250993908562</v>
      </c>
      <c r="T353" s="6">
        <f t="shared" si="101"/>
        <v>169.70562748477141</v>
      </c>
      <c r="U353" s="6">
        <f t="shared" si="102"/>
        <v>42.426406871192853</v>
      </c>
      <c r="V353" s="6">
        <f t="shared" si="103"/>
        <v>212.13203435596427</v>
      </c>
      <c r="W353">
        <v>34</v>
      </c>
      <c r="X353" t="str">
        <f t="shared" si="104"/>
        <v>OK</v>
      </c>
      <c r="Y353" s="6">
        <f t="shared" si="105"/>
        <v>26</v>
      </c>
      <c r="Z353" s="6">
        <f t="shared" si="106"/>
        <v>52</v>
      </c>
    </row>
    <row r="354" spans="1:26" x14ac:dyDescent="0.3">
      <c r="A354" s="3" t="str">
        <f t="shared" si="90"/>
        <v>SKU353</v>
      </c>
      <c r="B354" s="3">
        <v>1989</v>
      </c>
      <c r="C354" s="3">
        <f t="shared" si="92"/>
        <v>2585.7000000000003</v>
      </c>
      <c r="D354" s="3">
        <v>13.14</v>
      </c>
      <c r="E354" s="3">
        <v>15</v>
      </c>
      <c r="F354" s="3" t="str" cm="1">
        <f t="array" aca="1" ref="F354" ca="1">INDEX({"Electronics","Clothing","Food","Furniture"}, RANDBETWEEN(1,4))</f>
        <v>Clothing</v>
      </c>
      <c r="G354" s="3">
        <v>50</v>
      </c>
      <c r="H354" s="3">
        <v>2</v>
      </c>
      <c r="I354" s="3">
        <f t="shared" si="91"/>
        <v>26135.460000000003</v>
      </c>
      <c r="J354" s="3">
        <f t="shared" si="107"/>
        <v>27107735.329999994</v>
      </c>
      <c r="K354" s="4">
        <f t="shared" si="93"/>
        <v>0.93013077932857569</v>
      </c>
      <c r="M354" s="6">
        <f t="shared" si="94"/>
        <v>315.35694062442957</v>
      </c>
      <c r="N354" s="6">
        <f t="shared" si="95"/>
        <v>359.56223383442261</v>
      </c>
      <c r="O354" s="6">
        <f t="shared" si="96"/>
        <v>5.4493150684931511</v>
      </c>
      <c r="P354" s="6">
        <f t="shared" si="97"/>
        <v>81.739726027397268</v>
      </c>
      <c r="Q354" t="str">
        <f t="shared" si="98"/>
        <v>B</v>
      </c>
      <c r="R354" s="6">
        <f t="shared" si="99"/>
        <v>157.67847031221478</v>
      </c>
      <c r="S354" s="6">
        <f t="shared" si="100"/>
        <v>12.614277624977182</v>
      </c>
      <c r="T354" s="6">
        <f t="shared" si="101"/>
        <v>315.35694062442957</v>
      </c>
      <c r="U354" s="6">
        <f t="shared" si="102"/>
        <v>78.839235156107392</v>
      </c>
      <c r="V354" s="6">
        <f t="shared" si="103"/>
        <v>394.19617578053698</v>
      </c>
      <c r="W354">
        <v>20</v>
      </c>
      <c r="X354" t="str">
        <f t="shared" si="104"/>
        <v>ALERT</v>
      </c>
      <c r="Y354" s="6">
        <f t="shared" si="105"/>
        <v>20</v>
      </c>
      <c r="Z354" s="6">
        <f t="shared" si="106"/>
        <v>100</v>
      </c>
    </row>
    <row r="355" spans="1:26" x14ac:dyDescent="0.3">
      <c r="A355" s="3" t="str">
        <f t="shared" si="90"/>
        <v>SKU354</v>
      </c>
      <c r="B355" s="3">
        <v>399</v>
      </c>
      <c r="C355" s="3">
        <f t="shared" si="92"/>
        <v>518.70000000000005</v>
      </c>
      <c r="D355" s="3">
        <v>65.260000000000005</v>
      </c>
      <c r="E355" s="3">
        <v>1</v>
      </c>
      <c r="F355" s="3" t="str" cm="1">
        <f t="array" aca="1" ref="F355" ca="1">INDEX({"Electronics","Clothing","Food","Furniture"}, RANDBETWEEN(1,4))</f>
        <v>Food</v>
      </c>
      <c r="G355" s="3">
        <v>50</v>
      </c>
      <c r="H355" s="3">
        <v>2</v>
      </c>
      <c r="I355" s="3">
        <f t="shared" si="91"/>
        <v>26038.74</v>
      </c>
      <c r="J355" s="3">
        <f t="shared" si="107"/>
        <v>27133774.069999993</v>
      </c>
      <c r="K355" s="4">
        <f t="shared" si="93"/>
        <v>0.93102423033929627</v>
      </c>
      <c r="M355" s="6">
        <f t="shared" si="94"/>
        <v>141.24446891825534</v>
      </c>
      <c r="N355" s="6">
        <f t="shared" si="95"/>
        <v>161.04347239177378</v>
      </c>
      <c r="O355" s="6">
        <f t="shared" si="96"/>
        <v>1.0931506849315069</v>
      </c>
      <c r="P355" s="6">
        <f t="shared" si="97"/>
        <v>1.0931506849315069</v>
      </c>
      <c r="Q355" t="str">
        <f t="shared" si="98"/>
        <v>B</v>
      </c>
      <c r="R355" s="6">
        <f t="shared" si="99"/>
        <v>70.622234459127668</v>
      </c>
      <c r="S355" s="6">
        <f t="shared" si="100"/>
        <v>5.649778756730214</v>
      </c>
      <c r="T355" s="6">
        <f t="shared" si="101"/>
        <v>141.24446891825534</v>
      </c>
      <c r="U355" s="6">
        <f t="shared" si="102"/>
        <v>35.311117229563834</v>
      </c>
      <c r="V355" s="6">
        <f t="shared" si="103"/>
        <v>176.55558614781916</v>
      </c>
      <c r="W355">
        <v>0</v>
      </c>
      <c r="X355" t="str">
        <f t="shared" si="104"/>
        <v>ALERT</v>
      </c>
      <c r="Y355" s="6">
        <f t="shared" si="105"/>
        <v>6</v>
      </c>
      <c r="Z355" s="6">
        <f t="shared" si="106"/>
        <v>6</v>
      </c>
    </row>
    <row r="356" spans="1:26" x14ac:dyDescent="0.3">
      <c r="A356" s="3" t="str">
        <f t="shared" si="90"/>
        <v>SKU355</v>
      </c>
      <c r="B356" s="3">
        <v>1420</v>
      </c>
      <c r="C356" s="3">
        <f t="shared" si="92"/>
        <v>1846</v>
      </c>
      <c r="D356" s="3">
        <v>18.16</v>
      </c>
      <c r="E356" s="3">
        <v>21</v>
      </c>
      <c r="F356" s="3" t="str" cm="1">
        <f t="array" aca="1" ref="F356" ca="1">INDEX({"Electronics","Clothing","Food","Furniture"}, RANDBETWEEN(1,4))</f>
        <v>Furniture</v>
      </c>
      <c r="G356" s="3">
        <v>50</v>
      </c>
      <c r="H356" s="3">
        <v>2</v>
      </c>
      <c r="I356" s="3">
        <f t="shared" si="91"/>
        <v>25787.200000000001</v>
      </c>
      <c r="J356" s="3">
        <f t="shared" si="107"/>
        <v>27159561.269999992</v>
      </c>
      <c r="K356" s="4">
        <f t="shared" si="93"/>
        <v>0.93190905041521588</v>
      </c>
      <c r="M356" s="6">
        <f t="shared" si="94"/>
        <v>266.45825188948453</v>
      </c>
      <c r="N356" s="6">
        <f t="shared" si="95"/>
        <v>303.80915061926623</v>
      </c>
      <c r="O356" s="6">
        <f t="shared" si="96"/>
        <v>3.8904109589041096</v>
      </c>
      <c r="P356" s="6">
        <f t="shared" si="97"/>
        <v>81.698630136986296</v>
      </c>
      <c r="Q356" t="str">
        <f t="shared" si="98"/>
        <v>B</v>
      </c>
      <c r="R356" s="6">
        <f t="shared" si="99"/>
        <v>133.22912594474226</v>
      </c>
      <c r="S356" s="6">
        <f t="shared" si="100"/>
        <v>10.658330075579384</v>
      </c>
      <c r="T356" s="6">
        <f t="shared" si="101"/>
        <v>266.45825188948459</v>
      </c>
      <c r="U356" s="6">
        <f t="shared" si="102"/>
        <v>66.614562972371132</v>
      </c>
      <c r="V356" s="6">
        <f t="shared" si="103"/>
        <v>333.0728148618557</v>
      </c>
      <c r="W356">
        <v>103</v>
      </c>
      <c r="X356" t="str">
        <f t="shared" si="104"/>
        <v>OK</v>
      </c>
      <c r="Y356" s="6">
        <f t="shared" si="105"/>
        <v>26</v>
      </c>
      <c r="Z356" s="6">
        <f t="shared" si="106"/>
        <v>104</v>
      </c>
    </row>
    <row r="357" spans="1:26" x14ac:dyDescent="0.3">
      <c r="A357" s="3" t="str">
        <f t="shared" si="90"/>
        <v>SKU356</v>
      </c>
      <c r="B357" s="3">
        <v>366</v>
      </c>
      <c r="C357" s="3">
        <f t="shared" si="92"/>
        <v>475.8</v>
      </c>
      <c r="D357" s="3">
        <v>70.08</v>
      </c>
      <c r="E357" s="3">
        <v>19</v>
      </c>
      <c r="F357" s="3" t="str" cm="1">
        <f t="array" aca="1" ref="F357" ca="1">INDEX({"Electronics","Clothing","Food","Furniture"}, RANDBETWEEN(1,4))</f>
        <v>Clothing</v>
      </c>
      <c r="G357" s="3">
        <v>50</v>
      </c>
      <c r="H357" s="3">
        <v>2</v>
      </c>
      <c r="I357" s="3">
        <f t="shared" si="91"/>
        <v>25649.279999999999</v>
      </c>
      <c r="J357" s="3">
        <f t="shared" si="107"/>
        <v>27185210.549999993</v>
      </c>
      <c r="K357" s="4">
        <f t="shared" si="93"/>
        <v>0.93278913812837927</v>
      </c>
      <c r="M357" s="6">
        <f t="shared" si="94"/>
        <v>135.27749258468683</v>
      </c>
      <c r="N357" s="6">
        <f t="shared" si="95"/>
        <v>154.24007261409079</v>
      </c>
      <c r="O357" s="6">
        <f t="shared" si="96"/>
        <v>1.0027397260273974</v>
      </c>
      <c r="P357" s="6">
        <f t="shared" si="97"/>
        <v>19.052054794520551</v>
      </c>
      <c r="Q357" t="str">
        <f t="shared" si="98"/>
        <v>B</v>
      </c>
      <c r="R357" s="6">
        <f t="shared" si="99"/>
        <v>67.638746292343413</v>
      </c>
      <c r="S357" s="6">
        <f t="shared" si="100"/>
        <v>5.4110997033874737</v>
      </c>
      <c r="T357" s="6">
        <f t="shared" si="101"/>
        <v>135.27749258468685</v>
      </c>
      <c r="U357" s="6">
        <f t="shared" si="102"/>
        <v>33.819373146171706</v>
      </c>
      <c r="V357" s="6">
        <f t="shared" si="103"/>
        <v>169.09686573085855</v>
      </c>
      <c r="W357">
        <v>57</v>
      </c>
      <c r="X357" t="str">
        <f t="shared" si="104"/>
        <v>OK</v>
      </c>
      <c r="Y357" s="6">
        <f t="shared" si="105"/>
        <v>24</v>
      </c>
      <c r="Z357" s="6">
        <f t="shared" si="106"/>
        <v>24</v>
      </c>
    </row>
    <row r="358" spans="1:26" x14ac:dyDescent="0.3">
      <c r="A358" s="3" t="str">
        <f t="shared" si="90"/>
        <v>SKU357</v>
      </c>
      <c r="B358" s="3">
        <v>683</v>
      </c>
      <c r="C358" s="3">
        <f t="shared" si="92"/>
        <v>887.9</v>
      </c>
      <c r="D358" s="3">
        <v>37.270000000000003</v>
      </c>
      <c r="E358" s="3">
        <v>1</v>
      </c>
      <c r="F358" s="3" t="str" cm="1">
        <f t="array" aca="1" ref="F358" ca="1">INDEX({"Electronics","Clothing","Food","Furniture"}, RANDBETWEEN(1,4))</f>
        <v>Food</v>
      </c>
      <c r="G358" s="3">
        <v>50</v>
      </c>
      <c r="H358" s="3">
        <v>2</v>
      </c>
      <c r="I358" s="3">
        <f t="shared" si="91"/>
        <v>25455.410000000003</v>
      </c>
      <c r="J358" s="3">
        <f t="shared" si="107"/>
        <v>27210665.959999993</v>
      </c>
      <c r="K358" s="4">
        <f t="shared" si="93"/>
        <v>0.93366257370140648</v>
      </c>
      <c r="M358" s="6">
        <f t="shared" si="94"/>
        <v>184.79718612576329</v>
      </c>
      <c r="N358" s="6">
        <f t="shared" si="95"/>
        <v>210.70121024806667</v>
      </c>
      <c r="O358" s="6">
        <f t="shared" si="96"/>
        <v>1.8712328767123287</v>
      </c>
      <c r="P358" s="6">
        <f t="shared" si="97"/>
        <v>1.8712328767123287</v>
      </c>
      <c r="Q358" t="str">
        <f t="shared" si="98"/>
        <v>B</v>
      </c>
      <c r="R358" s="6">
        <f t="shared" si="99"/>
        <v>92.398593062881645</v>
      </c>
      <c r="S358" s="6">
        <f t="shared" si="100"/>
        <v>7.3918874450305312</v>
      </c>
      <c r="T358" s="6">
        <f t="shared" si="101"/>
        <v>184.79718612576329</v>
      </c>
      <c r="U358" s="6">
        <f t="shared" si="102"/>
        <v>46.199296531440822</v>
      </c>
      <c r="V358" s="6">
        <f t="shared" si="103"/>
        <v>230.99648265720413</v>
      </c>
      <c r="W358">
        <v>23</v>
      </c>
      <c r="X358" t="str">
        <f t="shared" si="104"/>
        <v>OK</v>
      </c>
      <c r="Y358" s="6">
        <f t="shared" si="105"/>
        <v>6</v>
      </c>
      <c r="Z358" s="6">
        <f t="shared" si="106"/>
        <v>12</v>
      </c>
    </row>
    <row r="359" spans="1:26" x14ac:dyDescent="0.3">
      <c r="A359" s="3" t="str">
        <f t="shared" si="90"/>
        <v>SKU358</v>
      </c>
      <c r="B359" s="3">
        <v>270</v>
      </c>
      <c r="C359" s="3">
        <f t="shared" si="92"/>
        <v>351</v>
      </c>
      <c r="D359" s="3">
        <v>93.39</v>
      </c>
      <c r="E359" s="3">
        <v>27</v>
      </c>
      <c r="F359" s="3" t="str" cm="1">
        <f t="array" aca="1" ref="F359" ca="1">INDEX({"Electronics","Clothing","Food","Furniture"}, RANDBETWEEN(1,4))</f>
        <v>Electronics</v>
      </c>
      <c r="G359" s="3">
        <v>50</v>
      </c>
      <c r="H359" s="3">
        <v>2</v>
      </c>
      <c r="I359" s="3">
        <f t="shared" si="91"/>
        <v>25215.3</v>
      </c>
      <c r="J359" s="3">
        <f t="shared" si="107"/>
        <v>27235881.259999994</v>
      </c>
      <c r="K359" s="4">
        <f t="shared" si="93"/>
        <v>0.93452777053007885</v>
      </c>
      <c r="M359" s="6">
        <f t="shared" si="94"/>
        <v>116.18950038622251</v>
      </c>
      <c r="N359" s="6">
        <f t="shared" si="95"/>
        <v>132.47641299491769</v>
      </c>
      <c r="O359" s="6">
        <f t="shared" si="96"/>
        <v>0.73972602739726023</v>
      </c>
      <c r="P359" s="6">
        <f t="shared" si="97"/>
        <v>19.972602739726025</v>
      </c>
      <c r="Q359" t="str">
        <f t="shared" si="98"/>
        <v>B</v>
      </c>
      <c r="R359" s="6">
        <f t="shared" si="99"/>
        <v>58.094750193111253</v>
      </c>
      <c r="S359" s="6">
        <f t="shared" si="100"/>
        <v>4.6475800154489004</v>
      </c>
      <c r="T359" s="6">
        <f t="shared" si="101"/>
        <v>116.18950038622251</v>
      </c>
      <c r="U359" s="6">
        <f t="shared" si="102"/>
        <v>29.047375096555626</v>
      </c>
      <c r="V359" s="6">
        <f t="shared" si="103"/>
        <v>145.23687548277815</v>
      </c>
      <c r="W359">
        <v>50</v>
      </c>
      <c r="X359" t="str">
        <f t="shared" si="104"/>
        <v>OK</v>
      </c>
      <c r="Y359" s="6">
        <f t="shared" si="105"/>
        <v>32</v>
      </c>
      <c r="Z359" s="6">
        <f t="shared" si="106"/>
        <v>32</v>
      </c>
    </row>
    <row r="360" spans="1:26" x14ac:dyDescent="0.3">
      <c r="A360" s="3" t="str">
        <f t="shared" si="90"/>
        <v>SKU359</v>
      </c>
      <c r="B360" s="3">
        <v>1790</v>
      </c>
      <c r="C360" s="3">
        <f t="shared" si="92"/>
        <v>2327</v>
      </c>
      <c r="D360" s="3">
        <v>13.97</v>
      </c>
      <c r="E360" s="3">
        <v>21</v>
      </c>
      <c r="F360" s="3" t="str" cm="1">
        <f t="array" aca="1" ref="F360" ca="1">INDEX({"Electronics","Clothing","Food","Furniture"}, RANDBETWEEN(1,4))</f>
        <v>Furniture</v>
      </c>
      <c r="G360" s="3">
        <v>50</v>
      </c>
      <c r="H360" s="3">
        <v>2</v>
      </c>
      <c r="I360" s="3">
        <f t="shared" si="91"/>
        <v>25006.300000000003</v>
      </c>
      <c r="J360" s="3">
        <f t="shared" si="107"/>
        <v>27260887.559999995</v>
      </c>
      <c r="K360" s="4">
        <f t="shared" si="93"/>
        <v>0.93538579607238159</v>
      </c>
      <c r="M360" s="6">
        <f t="shared" si="94"/>
        <v>299.16550603303182</v>
      </c>
      <c r="N360" s="6">
        <f t="shared" si="95"/>
        <v>341.10115801621077</v>
      </c>
      <c r="O360" s="6">
        <f t="shared" si="96"/>
        <v>4.904109589041096</v>
      </c>
      <c r="P360" s="6">
        <f t="shared" si="97"/>
        <v>102.98630136986301</v>
      </c>
      <c r="Q360" t="str">
        <f t="shared" si="98"/>
        <v>B</v>
      </c>
      <c r="R360" s="6">
        <f t="shared" si="99"/>
        <v>149.58275301651591</v>
      </c>
      <c r="S360" s="6">
        <f t="shared" si="100"/>
        <v>11.966620241321273</v>
      </c>
      <c r="T360" s="6">
        <f t="shared" si="101"/>
        <v>299.16550603303182</v>
      </c>
      <c r="U360" s="6">
        <f t="shared" si="102"/>
        <v>74.791376508257954</v>
      </c>
      <c r="V360" s="6">
        <f t="shared" si="103"/>
        <v>373.95688254128976</v>
      </c>
      <c r="W360">
        <v>1</v>
      </c>
      <c r="X360" t="str">
        <f t="shared" si="104"/>
        <v>ALERT</v>
      </c>
      <c r="Y360" s="6">
        <f t="shared" si="105"/>
        <v>26</v>
      </c>
      <c r="Z360" s="6">
        <f t="shared" si="106"/>
        <v>130</v>
      </c>
    </row>
    <row r="361" spans="1:26" x14ac:dyDescent="0.3">
      <c r="A361" s="3" t="str">
        <f t="shared" si="90"/>
        <v>SKU360</v>
      </c>
      <c r="B361" s="3">
        <v>342</v>
      </c>
      <c r="C361" s="3">
        <f t="shared" si="92"/>
        <v>444.6</v>
      </c>
      <c r="D361" s="3">
        <v>71.930000000000007</v>
      </c>
      <c r="E361" s="3">
        <v>14</v>
      </c>
      <c r="F361" s="3" t="str" cm="1">
        <f t="array" aca="1" ref="F361" ca="1">INDEX({"Electronics","Clothing","Food","Furniture"}, RANDBETWEEN(1,4))</f>
        <v>Food</v>
      </c>
      <c r="G361" s="3">
        <v>50</v>
      </c>
      <c r="H361" s="3">
        <v>2</v>
      </c>
      <c r="I361" s="3">
        <f t="shared" si="91"/>
        <v>24600.06</v>
      </c>
      <c r="J361" s="3">
        <f t="shared" si="107"/>
        <v>27285487.619999994</v>
      </c>
      <c r="K361" s="4">
        <f t="shared" si="93"/>
        <v>0.93622988255547512</v>
      </c>
      <c r="M361" s="6">
        <f t="shared" si="94"/>
        <v>130.76696830622021</v>
      </c>
      <c r="N361" s="6">
        <f t="shared" si="95"/>
        <v>149.09728367747013</v>
      </c>
      <c r="O361" s="6">
        <f t="shared" si="96"/>
        <v>0.93698630136986305</v>
      </c>
      <c r="P361" s="6">
        <f t="shared" si="97"/>
        <v>13.117808219178082</v>
      </c>
      <c r="Q361" t="str">
        <f t="shared" si="98"/>
        <v>B</v>
      </c>
      <c r="R361" s="6">
        <f t="shared" si="99"/>
        <v>65.383484153110103</v>
      </c>
      <c r="S361" s="6">
        <f t="shared" si="100"/>
        <v>5.2306787322488084</v>
      </c>
      <c r="T361" s="6">
        <f t="shared" si="101"/>
        <v>130.76696830622021</v>
      </c>
      <c r="U361" s="6">
        <f t="shared" si="102"/>
        <v>32.691742076555052</v>
      </c>
      <c r="V361" s="6">
        <f t="shared" si="103"/>
        <v>163.45871038277525</v>
      </c>
      <c r="W361">
        <v>11</v>
      </c>
      <c r="X361" t="str">
        <f t="shared" si="104"/>
        <v>ALERT</v>
      </c>
      <c r="Y361" s="6">
        <f t="shared" si="105"/>
        <v>19</v>
      </c>
      <c r="Z361" s="6">
        <f t="shared" si="106"/>
        <v>19</v>
      </c>
    </row>
    <row r="362" spans="1:26" x14ac:dyDescent="0.3">
      <c r="A362" s="3" t="str">
        <f t="shared" si="90"/>
        <v>SKU361</v>
      </c>
      <c r="B362" s="3">
        <v>454</v>
      </c>
      <c r="C362" s="3">
        <f t="shared" si="92"/>
        <v>590.20000000000005</v>
      </c>
      <c r="D362" s="3">
        <v>53.44</v>
      </c>
      <c r="E362" s="3">
        <v>16</v>
      </c>
      <c r="F362" s="3" t="str" cm="1">
        <f t="array" aca="1" ref="F362" ca="1">INDEX({"Electronics","Clothing","Food","Furniture"}, RANDBETWEEN(1,4))</f>
        <v>Food</v>
      </c>
      <c r="G362" s="3">
        <v>50</v>
      </c>
      <c r="H362" s="3">
        <v>2</v>
      </c>
      <c r="I362" s="3">
        <f t="shared" si="91"/>
        <v>24261.759999999998</v>
      </c>
      <c r="J362" s="3">
        <f t="shared" si="107"/>
        <v>27309749.379999995</v>
      </c>
      <c r="K362" s="4">
        <f t="shared" si="93"/>
        <v>0.93706236116211516</v>
      </c>
      <c r="M362" s="6">
        <f t="shared" si="94"/>
        <v>150.66519173319364</v>
      </c>
      <c r="N362" s="6">
        <f t="shared" si="95"/>
        <v>171.78474903203718</v>
      </c>
      <c r="O362" s="6">
        <f t="shared" si="96"/>
        <v>1.2438356164383562</v>
      </c>
      <c r="P362" s="6">
        <f t="shared" si="97"/>
        <v>19.901369863013699</v>
      </c>
      <c r="Q362" t="str">
        <f t="shared" si="98"/>
        <v>B</v>
      </c>
      <c r="R362" s="6">
        <f t="shared" si="99"/>
        <v>75.332595866596819</v>
      </c>
      <c r="S362" s="6">
        <f t="shared" si="100"/>
        <v>6.0266076693277455</v>
      </c>
      <c r="T362" s="6">
        <f t="shared" si="101"/>
        <v>150.66519173319364</v>
      </c>
      <c r="U362" s="6">
        <f t="shared" si="102"/>
        <v>37.666297933298409</v>
      </c>
      <c r="V362" s="6">
        <f t="shared" si="103"/>
        <v>188.33148966649205</v>
      </c>
      <c r="W362">
        <v>60</v>
      </c>
      <c r="X362" t="str">
        <f t="shared" si="104"/>
        <v>OK</v>
      </c>
      <c r="Y362" s="6">
        <f t="shared" si="105"/>
        <v>21</v>
      </c>
      <c r="Z362" s="6">
        <f t="shared" si="106"/>
        <v>21</v>
      </c>
    </row>
    <row r="363" spans="1:26" x14ac:dyDescent="0.3">
      <c r="A363" s="3" t="str">
        <f t="shared" si="90"/>
        <v>SKU362</v>
      </c>
      <c r="B363" s="3">
        <v>1138</v>
      </c>
      <c r="C363" s="3">
        <f t="shared" si="92"/>
        <v>1479.4</v>
      </c>
      <c r="D363" s="3">
        <v>20.78</v>
      </c>
      <c r="E363" s="3">
        <v>16</v>
      </c>
      <c r="F363" s="3" t="str" cm="1">
        <f t="array" aca="1" ref="F363" ca="1">INDEX({"Electronics","Clothing","Food","Furniture"}, RANDBETWEEN(1,4))</f>
        <v>Electronics</v>
      </c>
      <c r="G363" s="3">
        <v>50</v>
      </c>
      <c r="H363" s="3">
        <v>2</v>
      </c>
      <c r="I363" s="3">
        <f t="shared" si="91"/>
        <v>23647.640000000003</v>
      </c>
      <c r="J363" s="3">
        <f t="shared" si="107"/>
        <v>27333397.019999996</v>
      </c>
      <c r="K363" s="4">
        <f t="shared" si="93"/>
        <v>0.93787376785303633</v>
      </c>
      <c r="M363" s="6">
        <f t="shared" si="94"/>
        <v>238.53720883753127</v>
      </c>
      <c r="N363" s="6">
        <f t="shared" si="95"/>
        <v>271.97426348829407</v>
      </c>
      <c r="O363" s="6">
        <f t="shared" si="96"/>
        <v>3.117808219178082</v>
      </c>
      <c r="P363" s="6">
        <f t="shared" si="97"/>
        <v>49.884931506849313</v>
      </c>
      <c r="Q363" t="str">
        <f t="shared" si="98"/>
        <v>B</v>
      </c>
      <c r="R363" s="6">
        <f t="shared" si="99"/>
        <v>119.26860441876563</v>
      </c>
      <c r="S363" s="6">
        <f t="shared" si="100"/>
        <v>9.5414883535012507</v>
      </c>
      <c r="T363" s="6">
        <f t="shared" si="101"/>
        <v>238.53720883753127</v>
      </c>
      <c r="U363" s="6">
        <f t="shared" si="102"/>
        <v>59.634302209382817</v>
      </c>
      <c r="V363" s="6">
        <f t="shared" si="103"/>
        <v>298.17151104691408</v>
      </c>
      <c r="W363">
        <v>25</v>
      </c>
      <c r="X363" t="str">
        <f t="shared" si="104"/>
        <v>ALERT</v>
      </c>
      <c r="Y363" s="6">
        <f t="shared" si="105"/>
        <v>21</v>
      </c>
      <c r="Z363" s="6">
        <f t="shared" si="106"/>
        <v>63</v>
      </c>
    </row>
    <row r="364" spans="1:26" x14ac:dyDescent="0.3">
      <c r="A364" s="3" t="str">
        <f t="shared" si="90"/>
        <v>SKU363</v>
      </c>
      <c r="B364" s="3">
        <v>1156</v>
      </c>
      <c r="C364" s="3">
        <f t="shared" si="92"/>
        <v>1502.8</v>
      </c>
      <c r="D364" s="3">
        <v>20.41</v>
      </c>
      <c r="E364" s="3">
        <v>16</v>
      </c>
      <c r="F364" s="3" t="str" cm="1">
        <f t="array" aca="1" ref="F364" ca="1">INDEX({"Electronics","Clothing","Food","Furniture"}, RANDBETWEEN(1,4))</f>
        <v>Clothing</v>
      </c>
      <c r="G364" s="3">
        <v>50</v>
      </c>
      <c r="H364" s="3">
        <v>2</v>
      </c>
      <c r="I364" s="3">
        <f t="shared" si="91"/>
        <v>23593.96</v>
      </c>
      <c r="J364" s="3">
        <f t="shared" si="107"/>
        <v>27356990.979999997</v>
      </c>
      <c r="K364" s="4">
        <f t="shared" si="93"/>
        <v>0.93868333265566894</v>
      </c>
      <c r="M364" s="6">
        <f t="shared" si="94"/>
        <v>240.41630560342617</v>
      </c>
      <c r="N364" s="6">
        <f t="shared" si="95"/>
        <v>274.11676344215067</v>
      </c>
      <c r="O364" s="6">
        <f t="shared" si="96"/>
        <v>3.1671232876712327</v>
      </c>
      <c r="P364" s="6">
        <f t="shared" si="97"/>
        <v>50.673972602739724</v>
      </c>
      <c r="Q364" t="str">
        <f t="shared" si="98"/>
        <v>B</v>
      </c>
      <c r="R364" s="6">
        <f t="shared" si="99"/>
        <v>120.20815280171308</v>
      </c>
      <c r="S364" s="6">
        <f t="shared" si="100"/>
        <v>9.6166522241370451</v>
      </c>
      <c r="T364" s="6">
        <f t="shared" si="101"/>
        <v>240.41630560342614</v>
      </c>
      <c r="U364" s="6">
        <f t="shared" si="102"/>
        <v>60.104076400856542</v>
      </c>
      <c r="V364" s="6">
        <f t="shared" si="103"/>
        <v>300.52038200428268</v>
      </c>
      <c r="W364">
        <v>40</v>
      </c>
      <c r="X364" t="str">
        <f t="shared" si="104"/>
        <v>ALERT</v>
      </c>
      <c r="Y364" s="6">
        <f t="shared" si="105"/>
        <v>21</v>
      </c>
      <c r="Z364" s="6">
        <f t="shared" si="106"/>
        <v>63</v>
      </c>
    </row>
    <row r="365" spans="1:26" x14ac:dyDescent="0.3">
      <c r="A365" s="3" t="str">
        <f t="shared" si="90"/>
        <v>SKU364</v>
      </c>
      <c r="B365" s="3">
        <v>426</v>
      </c>
      <c r="C365" s="3">
        <f t="shared" si="92"/>
        <v>553.80000000000007</v>
      </c>
      <c r="D365" s="3">
        <v>55.14</v>
      </c>
      <c r="E365" s="3">
        <v>8</v>
      </c>
      <c r="F365" s="3" t="str" cm="1">
        <f t="array" aca="1" ref="F365" ca="1">INDEX({"Electronics","Clothing","Food","Furniture"}, RANDBETWEEN(1,4))</f>
        <v>Electronics</v>
      </c>
      <c r="G365" s="3">
        <v>50</v>
      </c>
      <c r="H365" s="3">
        <v>2</v>
      </c>
      <c r="I365" s="3">
        <f t="shared" si="91"/>
        <v>23489.64</v>
      </c>
      <c r="J365" s="3">
        <f t="shared" si="107"/>
        <v>27380480.619999997</v>
      </c>
      <c r="K365" s="4">
        <f t="shared" si="93"/>
        <v>0.93948931799134427</v>
      </c>
      <c r="M365" s="6">
        <f t="shared" si="94"/>
        <v>145.94519519326425</v>
      </c>
      <c r="N365" s="6">
        <f t="shared" si="95"/>
        <v>166.40312497065673</v>
      </c>
      <c r="O365" s="6">
        <f t="shared" si="96"/>
        <v>1.167123287671233</v>
      </c>
      <c r="P365" s="6">
        <f t="shared" si="97"/>
        <v>9.3369863013698637</v>
      </c>
      <c r="Q365" t="str">
        <f t="shared" si="98"/>
        <v>B</v>
      </c>
      <c r="R365" s="6">
        <f t="shared" si="99"/>
        <v>72.972597596632127</v>
      </c>
      <c r="S365" s="6">
        <f t="shared" si="100"/>
        <v>5.8378078077305693</v>
      </c>
      <c r="T365" s="6">
        <f t="shared" si="101"/>
        <v>145.94519519326423</v>
      </c>
      <c r="U365" s="6">
        <f t="shared" si="102"/>
        <v>36.486298798316064</v>
      </c>
      <c r="V365" s="6">
        <f t="shared" si="103"/>
        <v>182.43149399158028</v>
      </c>
      <c r="W365">
        <v>7</v>
      </c>
      <c r="X365" t="str">
        <f t="shared" si="104"/>
        <v>ALERT</v>
      </c>
      <c r="Y365" s="6">
        <f t="shared" si="105"/>
        <v>13</v>
      </c>
      <c r="Z365" s="6">
        <f t="shared" si="106"/>
        <v>13</v>
      </c>
    </row>
    <row r="366" spans="1:26" x14ac:dyDescent="0.3">
      <c r="A366" s="3" t="str">
        <f t="shared" si="90"/>
        <v>SKU365</v>
      </c>
      <c r="B366" s="3">
        <v>784</v>
      </c>
      <c r="C366" s="3">
        <f t="shared" si="92"/>
        <v>1019.2</v>
      </c>
      <c r="D366" s="3">
        <v>29.95</v>
      </c>
      <c r="E366" s="3">
        <v>23</v>
      </c>
      <c r="F366" s="3" t="str" cm="1">
        <f t="array" aca="1" ref="F366" ca="1">INDEX({"Electronics","Clothing","Food","Furniture"}, RANDBETWEEN(1,4))</f>
        <v>Electronics</v>
      </c>
      <c r="G366" s="3">
        <v>50</v>
      </c>
      <c r="H366" s="3">
        <v>2</v>
      </c>
      <c r="I366" s="3">
        <f t="shared" si="91"/>
        <v>23480.799999999999</v>
      </c>
      <c r="J366" s="3">
        <f t="shared" si="107"/>
        <v>27403961.419999998</v>
      </c>
      <c r="K366" s="4">
        <f t="shared" si="93"/>
        <v>0.94029500000562483</v>
      </c>
      <c r="M366" s="6">
        <f t="shared" si="94"/>
        <v>197.98989873223331</v>
      </c>
      <c r="N366" s="6">
        <f t="shared" si="95"/>
        <v>225.7432169523594</v>
      </c>
      <c r="O366" s="6">
        <f t="shared" si="96"/>
        <v>2.1479452054794521</v>
      </c>
      <c r="P366" s="6">
        <f t="shared" si="97"/>
        <v>49.402739726027399</v>
      </c>
      <c r="Q366" t="str">
        <f t="shared" si="98"/>
        <v>B</v>
      </c>
      <c r="R366" s="6">
        <f t="shared" si="99"/>
        <v>98.994949366116657</v>
      </c>
      <c r="S366" s="6">
        <f t="shared" si="100"/>
        <v>7.9195959492893317</v>
      </c>
      <c r="T366" s="6">
        <f t="shared" si="101"/>
        <v>197.98989873223329</v>
      </c>
      <c r="U366" s="6">
        <f t="shared" si="102"/>
        <v>49.497474683058329</v>
      </c>
      <c r="V366" s="6">
        <f t="shared" si="103"/>
        <v>247.48737341529161</v>
      </c>
      <c r="W366">
        <v>47</v>
      </c>
      <c r="X366" t="str">
        <f t="shared" si="104"/>
        <v>ALERT</v>
      </c>
      <c r="Y366" s="6">
        <f t="shared" si="105"/>
        <v>28</v>
      </c>
      <c r="Z366" s="6">
        <f t="shared" si="106"/>
        <v>56</v>
      </c>
    </row>
    <row r="367" spans="1:26" x14ac:dyDescent="0.3">
      <c r="A367" s="3" t="str">
        <f t="shared" si="90"/>
        <v>SKU366</v>
      </c>
      <c r="B367" s="3">
        <v>707</v>
      </c>
      <c r="C367" s="3">
        <f t="shared" si="92"/>
        <v>919.1</v>
      </c>
      <c r="D367" s="3">
        <v>32.99</v>
      </c>
      <c r="E367" s="3">
        <v>14</v>
      </c>
      <c r="F367" s="3" t="str" cm="1">
        <f t="array" aca="1" ref="F367" ca="1">INDEX({"Electronics","Clothing","Food","Furniture"}, RANDBETWEEN(1,4))</f>
        <v>Electronics</v>
      </c>
      <c r="G367" s="3">
        <v>50</v>
      </c>
      <c r="H367" s="3">
        <v>2</v>
      </c>
      <c r="I367" s="3">
        <f t="shared" si="91"/>
        <v>23323.93</v>
      </c>
      <c r="J367" s="3">
        <f t="shared" si="107"/>
        <v>27427285.349999998</v>
      </c>
      <c r="K367" s="4">
        <f t="shared" si="93"/>
        <v>0.94109529943764325</v>
      </c>
      <c r="M367" s="6">
        <f t="shared" si="94"/>
        <v>188.01595676963166</v>
      </c>
      <c r="N367" s="6">
        <f t="shared" si="95"/>
        <v>214.37117343523593</v>
      </c>
      <c r="O367" s="6">
        <f t="shared" si="96"/>
        <v>1.9369863013698629</v>
      </c>
      <c r="P367" s="6">
        <f t="shared" si="97"/>
        <v>27.11780821917808</v>
      </c>
      <c r="Q367" t="str">
        <f t="shared" si="98"/>
        <v>B</v>
      </c>
      <c r="R367" s="6">
        <f t="shared" si="99"/>
        <v>94.007978384815829</v>
      </c>
      <c r="S367" s="6">
        <f t="shared" si="100"/>
        <v>7.5206382707852661</v>
      </c>
      <c r="T367" s="6">
        <f t="shared" si="101"/>
        <v>188.01595676963166</v>
      </c>
      <c r="U367" s="6">
        <f t="shared" si="102"/>
        <v>47.003989192407914</v>
      </c>
      <c r="V367" s="6">
        <f t="shared" si="103"/>
        <v>235.01994596203957</v>
      </c>
      <c r="W367">
        <v>71</v>
      </c>
      <c r="X367" t="str">
        <f t="shared" si="104"/>
        <v>OK</v>
      </c>
      <c r="Y367" s="6">
        <f t="shared" si="105"/>
        <v>19</v>
      </c>
      <c r="Z367" s="6">
        <f t="shared" si="106"/>
        <v>38</v>
      </c>
    </row>
    <row r="368" spans="1:26" x14ac:dyDescent="0.3">
      <c r="A368" s="3" t="str">
        <f t="shared" si="90"/>
        <v>SKU367</v>
      </c>
      <c r="B368" s="3">
        <v>254</v>
      </c>
      <c r="C368" s="3">
        <f t="shared" si="92"/>
        <v>330.2</v>
      </c>
      <c r="D368" s="3">
        <v>90.72</v>
      </c>
      <c r="E368" s="3">
        <v>18</v>
      </c>
      <c r="F368" s="3" t="str" cm="1">
        <f t="array" aca="1" ref="F368" ca="1">INDEX({"Electronics","Clothing","Food","Furniture"}, RANDBETWEEN(1,4))</f>
        <v>Electronics</v>
      </c>
      <c r="G368" s="3">
        <v>50</v>
      </c>
      <c r="H368" s="3">
        <v>2</v>
      </c>
      <c r="I368" s="3">
        <f t="shared" si="91"/>
        <v>23042.880000000001</v>
      </c>
      <c r="J368" s="3">
        <f t="shared" si="107"/>
        <v>27450328.229999997</v>
      </c>
      <c r="K368" s="4">
        <f t="shared" si="93"/>
        <v>0.9418859553766753</v>
      </c>
      <c r="M368" s="6">
        <f t="shared" si="94"/>
        <v>112.69427669584645</v>
      </c>
      <c r="N368" s="6">
        <f t="shared" si="95"/>
        <v>128.49124483792662</v>
      </c>
      <c r="O368" s="6">
        <f t="shared" si="96"/>
        <v>0.69589041095890414</v>
      </c>
      <c r="P368" s="6">
        <f t="shared" si="97"/>
        <v>12.526027397260275</v>
      </c>
      <c r="Q368" t="str">
        <f t="shared" si="98"/>
        <v>B</v>
      </c>
      <c r="R368" s="6">
        <f t="shared" si="99"/>
        <v>56.347138347923227</v>
      </c>
      <c r="S368" s="6">
        <f t="shared" si="100"/>
        <v>4.5077710678338576</v>
      </c>
      <c r="T368" s="6">
        <f t="shared" si="101"/>
        <v>112.69427669584644</v>
      </c>
      <c r="U368" s="6">
        <f t="shared" si="102"/>
        <v>28.173569173961614</v>
      </c>
      <c r="V368" s="6">
        <f t="shared" si="103"/>
        <v>140.86784586980806</v>
      </c>
      <c r="W368">
        <v>9</v>
      </c>
      <c r="X368" t="str">
        <f t="shared" si="104"/>
        <v>ALERT</v>
      </c>
      <c r="Y368" s="6">
        <f t="shared" si="105"/>
        <v>23</v>
      </c>
      <c r="Z368" s="6">
        <f t="shared" si="106"/>
        <v>23</v>
      </c>
    </row>
    <row r="369" spans="1:26" x14ac:dyDescent="0.3">
      <c r="A369" s="3" t="str">
        <f t="shared" si="90"/>
        <v>SKU368</v>
      </c>
      <c r="B369" s="3">
        <v>454</v>
      </c>
      <c r="C369" s="3">
        <f t="shared" si="92"/>
        <v>590.20000000000005</v>
      </c>
      <c r="D369" s="3">
        <v>50.7</v>
      </c>
      <c r="E369" s="3">
        <v>14</v>
      </c>
      <c r="F369" s="3" t="str" cm="1">
        <f t="array" aca="1" ref="F369" ca="1">INDEX({"Electronics","Clothing","Food","Furniture"}, RANDBETWEEN(1,4))</f>
        <v>Food</v>
      </c>
      <c r="G369" s="3">
        <v>50</v>
      </c>
      <c r="H369" s="3">
        <v>2</v>
      </c>
      <c r="I369" s="3">
        <f t="shared" si="91"/>
        <v>23017.800000000003</v>
      </c>
      <c r="J369" s="3">
        <f t="shared" si="107"/>
        <v>27473346.029999997</v>
      </c>
      <c r="K369" s="4">
        <f t="shared" si="93"/>
        <v>0.94267575076134313</v>
      </c>
      <c r="M369" s="6">
        <f t="shared" si="94"/>
        <v>150.66519173319364</v>
      </c>
      <c r="N369" s="6">
        <f t="shared" si="95"/>
        <v>171.78474903203718</v>
      </c>
      <c r="O369" s="6">
        <f t="shared" si="96"/>
        <v>1.2438356164383562</v>
      </c>
      <c r="P369" s="6">
        <f t="shared" si="97"/>
        <v>17.413698630136984</v>
      </c>
      <c r="Q369" t="str">
        <f t="shared" si="98"/>
        <v>B</v>
      </c>
      <c r="R369" s="6">
        <f t="shared" si="99"/>
        <v>75.332595866596819</v>
      </c>
      <c r="S369" s="6">
        <f t="shared" si="100"/>
        <v>6.0266076693277455</v>
      </c>
      <c r="T369" s="6">
        <f t="shared" si="101"/>
        <v>150.66519173319364</v>
      </c>
      <c r="U369" s="6">
        <f t="shared" si="102"/>
        <v>37.666297933298409</v>
      </c>
      <c r="V369" s="6">
        <f t="shared" si="103"/>
        <v>188.33148966649205</v>
      </c>
      <c r="W369">
        <v>14</v>
      </c>
      <c r="X369" t="str">
        <f t="shared" si="104"/>
        <v>ALERT</v>
      </c>
      <c r="Y369" s="6">
        <f t="shared" si="105"/>
        <v>19</v>
      </c>
      <c r="Z369" s="6">
        <f t="shared" si="106"/>
        <v>19</v>
      </c>
    </row>
    <row r="370" spans="1:26" x14ac:dyDescent="0.3">
      <c r="A370" s="3" t="str">
        <f t="shared" si="90"/>
        <v>SKU369</v>
      </c>
      <c r="B370" s="3">
        <v>1147</v>
      </c>
      <c r="C370" s="3">
        <f t="shared" si="92"/>
        <v>1491.1000000000001</v>
      </c>
      <c r="D370" s="3">
        <v>19.98</v>
      </c>
      <c r="E370" s="3">
        <v>26</v>
      </c>
      <c r="F370" s="3" t="str" cm="1">
        <f t="array" aca="1" ref="F370" ca="1">INDEX({"Electronics","Clothing","Food","Furniture"}, RANDBETWEEN(1,4))</f>
        <v>Clothing</v>
      </c>
      <c r="G370" s="3">
        <v>50</v>
      </c>
      <c r="H370" s="3">
        <v>2</v>
      </c>
      <c r="I370" s="3">
        <f t="shared" si="91"/>
        <v>22917.06</v>
      </c>
      <c r="J370" s="3">
        <f t="shared" si="107"/>
        <v>27496263.089999996</v>
      </c>
      <c r="K370" s="4">
        <f t="shared" si="93"/>
        <v>0.943462089517356</v>
      </c>
      <c r="M370" s="6">
        <f t="shared" si="94"/>
        <v>239.47860029656096</v>
      </c>
      <c r="N370" s="6">
        <f t="shared" si="95"/>
        <v>273.04761489527795</v>
      </c>
      <c r="O370" s="6">
        <f t="shared" si="96"/>
        <v>3.1424657534246574</v>
      </c>
      <c r="P370" s="6">
        <f t="shared" si="97"/>
        <v>81.704109589041096</v>
      </c>
      <c r="Q370" t="str">
        <f t="shared" si="98"/>
        <v>B</v>
      </c>
      <c r="R370" s="6">
        <f t="shared" si="99"/>
        <v>119.73930014828048</v>
      </c>
      <c r="S370" s="6">
        <f t="shared" si="100"/>
        <v>9.5791440118624376</v>
      </c>
      <c r="T370" s="6">
        <f t="shared" si="101"/>
        <v>239.47860029656093</v>
      </c>
      <c r="U370" s="6">
        <f t="shared" si="102"/>
        <v>59.869650074140239</v>
      </c>
      <c r="V370" s="6">
        <f t="shared" si="103"/>
        <v>299.34825037070118</v>
      </c>
      <c r="W370">
        <v>87</v>
      </c>
      <c r="X370" t="str">
        <f t="shared" si="104"/>
        <v>OK</v>
      </c>
      <c r="Y370" s="6">
        <f t="shared" si="105"/>
        <v>31</v>
      </c>
      <c r="Z370" s="6">
        <f t="shared" si="106"/>
        <v>93</v>
      </c>
    </row>
    <row r="371" spans="1:26" x14ac:dyDescent="0.3">
      <c r="A371" s="3" t="str">
        <f t="shared" si="90"/>
        <v>SKU370</v>
      </c>
      <c r="B371" s="3">
        <v>277</v>
      </c>
      <c r="C371" s="3">
        <f t="shared" si="92"/>
        <v>360.1</v>
      </c>
      <c r="D371" s="3">
        <v>82.73</v>
      </c>
      <c r="E371" s="3">
        <v>10</v>
      </c>
      <c r="F371" s="3" t="str" cm="1">
        <f t="array" aca="1" ref="F371" ca="1">INDEX({"Electronics","Clothing","Food","Furniture"}, RANDBETWEEN(1,4))</f>
        <v>Furniture</v>
      </c>
      <c r="G371" s="3">
        <v>50</v>
      </c>
      <c r="H371" s="3">
        <v>2</v>
      </c>
      <c r="I371" s="3">
        <f t="shared" si="91"/>
        <v>22916.210000000003</v>
      </c>
      <c r="J371" s="3">
        <f t="shared" si="107"/>
        <v>27519179.299999997</v>
      </c>
      <c r="K371" s="4">
        <f t="shared" si="93"/>
        <v>0.94424839910785019</v>
      </c>
      <c r="M371" s="6">
        <f t="shared" si="94"/>
        <v>117.6860229593982</v>
      </c>
      <c r="N371" s="6">
        <f t="shared" si="95"/>
        <v>134.18271125595876</v>
      </c>
      <c r="O371" s="6">
        <f t="shared" si="96"/>
        <v>0.75890410958904109</v>
      </c>
      <c r="P371" s="6">
        <f t="shared" si="97"/>
        <v>7.5890410958904111</v>
      </c>
      <c r="Q371" t="str">
        <f t="shared" si="98"/>
        <v>B</v>
      </c>
      <c r="R371" s="6">
        <f t="shared" si="99"/>
        <v>58.843011479699101</v>
      </c>
      <c r="S371" s="6">
        <f t="shared" si="100"/>
        <v>4.7074409183759283</v>
      </c>
      <c r="T371" s="6">
        <f t="shared" si="101"/>
        <v>117.6860229593982</v>
      </c>
      <c r="U371" s="6">
        <f t="shared" si="102"/>
        <v>29.42150573984955</v>
      </c>
      <c r="V371" s="6">
        <f t="shared" si="103"/>
        <v>147.10752869924775</v>
      </c>
      <c r="W371">
        <v>40</v>
      </c>
      <c r="X371" t="str">
        <f t="shared" si="104"/>
        <v>OK</v>
      </c>
      <c r="Y371" s="6">
        <f t="shared" si="105"/>
        <v>15</v>
      </c>
      <c r="Z371" s="6">
        <f t="shared" si="106"/>
        <v>15</v>
      </c>
    </row>
    <row r="372" spans="1:26" x14ac:dyDescent="0.3">
      <c r="A372" s="3" t="str">
        <f t="shared" si="90"/>
        <v>SKU371</v>
      </c>
      <c r="B372" s="3">
        <v>792</v>
      </c>
      <c r="C372" s="3">
        <f t="shared" si="92"/>
        <v>1029.6000000000001</v>
      </c>
      <c r="D372" s="3">
        <v>28.82</v>
      </c>
      <c r="E372" s="3">
        <v>29</v>
      </c>
      <c r="F372" s="3" t="str" cm="1">
        <f t="array" aca="1" ref="F372" ca="1">INDEX({"Electronics","Clothing","Food","Furniture"}, RANDBETWEEN(1,4))</f>
        <v>Clothing</v>
      </c>
      <c r="G372" s="3">
        <v>50</v>
      </c>
      <c r="H372" s="3">
        <v>2</v>
      </c>
      <c r="I372" s="3">
        <f t="shared" si="91"/>
        <v>22825.439999999999</v>
      </c>
      <c r="J372" s="3">
        <f t="shared" si="107"/>
        <v>27542004.739999998</v>
      </c>
      <c r="K372" s="4">
        <f t="shared" si="93"/>
        <v>0.94503159416406812</v>
      </c>
      <c r="M372" s="6">
        <f t="shared" si="94"/>
        <v>198.997487421324</v>
      </c>
      <c r="N372" s="6">
        <f t="shared" si="95"/>
        <v>226.89204481426847</v>
      </c>
      <c r="O372" s="6">
        <f t="shared" si="96"/>
        <v>2.1698630136986301</v>
      </c>
      <c r="P372" s="6">
        <f t="shared" si="97"/>
        <v>62.92602739726027</v>
      </c>
      <c r="Q372" t="str">
        <f t="shared" si="98"/>
        <v>B</v>
      </c>
      <c r="R372" s="6">
        <f t="shared" si="99"/>
        <v>99.498743710661998</v>
      </c>
      <c r="S372" s="6">
        <f t="shared" si="100"/>
        <v>7.9598994968529597</v>
      </c>
      <c r="T372" s="6">
        <f t="shared" si="101"/>
        <v>198.997487421324</v>
      </c>
      <c r="U372" s="6">
        <f t="shared" si="102"/>
        <v>49.749371855330999</v>
      </c>
      <c r="V372" s="6">
        <f t="shared" si="103"/>
        <v>248.74685927665499</v>
      </c>
      <c r="W372">
        <v>66</v>
      </c>
      <c r="X372" t="str">
        <f t="shared" si="104"/>
        <v>OK</v>
      </c>
      <c r="Y372" s="6">
        <f t="shared" si="105"/>
        <v>34</v>
      </c>
      <c r="Z372" s="6">
        <f t="shared" si="106"/>
        <v>68</v>
      </c>
    </row>
    <row r="373" spans="1:26" x14ac:dyDescent="0.3">
      <c r="A373" s="3" t="str">
        <f t="shared" si="90"/>
        <v>SKU372</v>
      </c>
      <c r="B373" s="3">
        <v>695</v>
      </c>
      <c r="C373" s="3">
        <f t="shared" si="92"/>
        <v>903.5</v>
      </c>
      <c r="D373" s="3">
        <v>32.75</v>
      </c>
      <c r="E373" s="3">
        <v>20</v>
      </c>
      <c r="F373" s="3" t="str" cm="1">
        <f t="array" aca="1" ref="F373" ca="1">INDEX({"Electronics","Clothing","Food","Furniture"}, RANDBETWEEN(1,4))</f>
        <v>Clothing</v>
      </c>
      <c r="G373" s="3">
        <v>50</v>
      </c>
      <c r="H373" s="3">
        <v>2</v>
      </c>
      <c r="I373" s="3">
        <f t="shared" si="91"/>
        <v>22761.25</v>
      </c>
      <c r="J373" s="3">
        <f t="shared" si="107"/>
        <v>27564765.989999998</v>
      </c>
      <c r="K373" s="4">
        <f t="shared" si="93"/>
        <v>0.94581258670893631</v>
      </c>
      <c r="M373" s="6">
        <f t="shared" si="94"/>
        <v>186.41351882307248</v>
      </c>
      <c r="N373" s="6">
        <f t="shared" si="95"/>
        <v>212.54411306832284</v>
      </c>
      <c r="O373" s="6">
        <f t="shared" si="96"/>
        <v>1.904109589041096</v>
      </c>
      <c r="P373" s="6">
        <f t="shared" si="97"/>
        <v>38.082191780821915</v>
      </c>
      <c r="Q373" t="str">
        <f t="shared" si="98"/>
        <v>B</v>
      </c>
      <c r="R373" s="6">
        <f t="shared" si="99"/>
        <v>93.20675941153624</v>
      </c>
      <c r="S373" s="6">
        <f t="shared" si="100"/>
        <v>7.4565407529228995</v>
      </c>
      <c r="T373" s="6">
        <f t="shared" si="101"/>
        <v>186.41351882307248</v>
      </c>
      <c r="U373" s="6">
        <f t="shared" si="102"/>
        <v>46.60337970576812</v>
      </c>
      <c r="V373" s="6">
        <f t="shared" si="103"/>
        <v>233.01689852884061</v>
      </c>
      <c r="W373">
        <v>76</v>
      </c>
      <c r="X373" t="str">
        <f t="shared" si="104"/>
        <v>OK</v>
      </c>
      <c r="Y373" s="6">
        <f t="shared" si="105"/>
        <v>25</v>
      </c>
      <c r="Z373" s="6">
        <f t="shared" si="106"/>
        <v>50</v>
      </c>
    </row>
    <row r="374" spans="1:26" x14ac:dyDescent="0.3">
      <c r="A374" s="3" t="str">
        <f t="shared" si="90"/>
        <v>SKU373</v>
      </c>
      <c r="B374" s="3">
        <v>836</v>
      </c>
      <c r="C374" s="3">
        <f t="shared" si="92"/>
        <v>1086.8</v>
      </c>
      <c r="D374" s="3">
        <v>27.17</v>
      </c>
      <c r="E374" s="3">
        <v>8</v>
      </c>
      <c r="F374" s="3" t="str" cm="1">
        <f t="array" aca="1" ref="F374" ca="1">INDEX({"Electronics","Clothing","Food","Furniture"}, RANDBETWEEN(1,4))</f>
        <v>Clothing</v>
      </c>
      <c r="G374" s="3">
        <v>50</v>
      </c>
      <c r="H374" s="3">
        <v>2</v>
      </c>
      <c r="I374" s="3">
        <f t="shared" si="91"/>
        <v>22714.120000000003</v>
      </c>
      <c r="J374" s="3">
        <f t="shared" si="107"/>
        <v>27587480.109999999</v>
      </c>
      <c r="K374" s="4">
        <f t="shared" si="93"/>
        <v>0.94659196211157215</v>
      </c>
      <c r="M374" s="6">
        <f t="shared" si="94"/>
        <v>204.45048300260873</v>
      </c>
      <c r="N374" s="6">
        <f t="shared" si="95"/>
        <v>233.10941636922348</v>
      </c>
      <c r="O374" s="6">
        <f t="shared" si="96"/>
        <v>2.2904109589041095</v>
      </c>
      <c r="P374" s="6">
        <f t="shared" si="97"/>
        <v>18.323287671232876</v>
      </c>
      <c r="Q374" t="str">
        <f t="shared" si="98"/>
        <v>B</v>
      </c>
      <c r="R374" s="6">
        <f t="shared" si="99"/>
        <v>102.22524150130437</v>
      </c>
      <c r="S374" s="6">
        <f t="shared" si="100"/>
        <v>8.1780193201043492</v>
      </c>
      <c r="T374" s="6">
        <f t="shared" si="101"/>
        <v>204.45048300260873</v>
      </c>
      <c r="U374" s="6">
        <f t="shared" si="102"/>
        <v>51.112620750652184</v>
      </c>
      <c r="V374" s="6">
        <f t="shared" si="103"/>
        <v>255.56310375326092</v>
      </c>
      <c r="W374">
        <v>13</v>
      </c>
      <c r="X374" t="str">
        <f t="shared" si="104"/>
        <v>ALERT</v>
      </c>
      <c r="Y374" s="6">
        <f t="shared" si="105"/>
        <v>13</v>
      </c>
      <c r="Z374" s="6">
        <f t="shared" si="106"/>
        <v>26</v>
      </c>
    </row>
    <row r="375" spans="1:26" x14ac:dyDescent="0.3">
      <c r="A375" s="3" t="str">
        <f t="shared" si="90"/>
        <v>SKU374</v>
      </c>
      <c r="B375" s="3">
        <v>333</v>
      </c>
      <c r="C375" s="3">
        <f t="shared" si="92"/>
        <v>432.90000000000003</v>
      </c>
      <c r="D375" s="3">
        <v>67.87</v>
      </c>
      <c r="E375" s="3">
        <v>27</v>
      </c>
      <c r="F375" s="3" t="str" cm="1">
        <f t="array" aca="1" ref="F375" ca="1">INDEX({"Electronics","Clothing","Food","Furniture"}, RANDBETWEEN(1,4))</f>
        <v>Electronics</v>
      </c>
      <c r="G375" s="3">
        <v>50</v>
      </c>
      <c r="H375" s="3">
        <v>2</v>
      </c>
      <c r="I375" s="3">
        <f t="shared" si="91"/>
        <v>22600.710000000003</v>
      </c>
      <c r="J375" s="3">
        <f t="shared" si="107"/>
        <v>27610080.82</v>
      </c>
      <c r="K375" s="4">
        <f t="shared" si="93"/>
        <v>0.94736744614776225</v>
      </c>
      <c r="M375" s="6">
        <f t="shared" si="94"/>
        <v>129.0348790056394</v>
      </c>
      <c r="N375" s="6">
        <f t="shared" si="95"/>
        <v>147.12239802287073</v>
      </c>
      <c r="O375" s="6">
        <f t="shared" si="96"/>
        <v>0.9123287671232877</v>
      </c>
      <c r="P375" s="6">
        <f t="shared" si="97"/>
        <v>24.632876712328766</v>
      </c>
      <c r="Q375" t="str">
        <f t="shared" si="98"/>
        <v>B</v>
      </c>
      <c r="R375" s="6">
        <f t="shared" si="99"/>
        <v>64.517439502819698</v>
      </c>
      <c r="S375" s="6">
        <f t="shared" si="100"/>
        <v>5.1613951602255765</v>
      </c>
      <c r="T375" s="6">
        <f t="shared" si="101"/>
        <v>129.03487900563943</v>
      </c>
      <c r="U375" s="6">
        <f t="shared" si="102"/>
        <v>32.258719751409849</v>
      </c>
      <c r="V375" s="6">
        <f t="shared" si="103"/>
        <v>161.29359875704927</v>
      </c>
      <c r="W375">
        <v>33</v>
      </c>
      <c r="X375" t="str">
        <f t="shared" si="104"/>
        <v>OK</v>
      </c>
      <c r="Y375" s="6">
        <f t="shared" si="105"/>
        <v>32</v>
      </c>
      <c r="Z375" s="6">
        <f t="shared" si="106"/>
        <v>32</v>
      </c>
    </row>
    <row r="376" spans="1:26" x14ac:dyDescent="0.3">
      <c r="A376" s="3" t="str">
        <f t="shared" si="90"/>
        <v>SKU375</v>
      </c>
      <c r="B376" s="3">
        <v>263</v>
      </c>
      <c r="C376" s="3">
        <f t="shared" si="92"/>
        <v>341.90000000000003</v>
      </c>
      <c r="D376" s="3">
        <v>83.71</v>
      </c>
      <c r="E376" s="3">
        <v>17</v>
      </c>
      <c r="F376" s="3" t="str" cm="1">
        <f t="array" aca="1" ref="F376" ca="1">INDEX({"Electronics","Clothing","Food","Furniture"}, RANDBETWEEN(1,4))</f>
        <v>Furniture</v>
      </c>
      <c r="G376" s="3">
        <v>50</v>
      </c>
      <c r="H376" s="3">
        <v>2</v>
      </c>
      <c r="I376" s="3">
        <f t="shared" si="91"/>
        <v>22015.73</v>
      </c>
      <c r="J376" s="3">
        <f t="shared" si="107"/>
        <v>27632096.550000001</v>
      </c>
      <c r="K376" s="4">
        <f t="shared" si="93"/>
        <v>0.94812285813084018</v>
      </c>
      <c r="M376" s="6">
        <f t="shared" si="94"/>
        <v>114.67344941179715</v>
      </c>
      <c r="N376" s="6">
        <f t="shared" si="95"/>
        <v>130.74784893068031</v>
      </c>
      <c r="O376" s="6">
        <f t="shared" si="96"/>
        <v>0.72054794520547949</v>
      </c>
      <c r="P376" s="6">
        <f t="shared" si="97"/>
        <v>12.249315068493152</v>
      </c>
      <c r="Q376" t="str">
        <f t="shared" si="98"/>
        <v>B</v>
      </c>
      <c r="R376" s="6">
        <f t="shared" si="99"/>
        <v>57.336724705898575</v>
      </c>
      <c r="S376" s="6">
        <f t="shared" si="100"/>
        <v>4.5869379764718863</v>
      </c>
      <c r="T376" s="6">
        <f t="shared" si="101"/>
        <v>114.67344941179715</v>
      </c>
      <c r="U376" s="6">
        <f t="shared" si="102"/>
        <v>28.668362352949288</v>
      </c>
      <c r="V376" s="6">
        <f t="shared" si="103"/>
        <v>143.34181176474644</v>
      </c>
      <c r="W376">
        <v>49</v>
      </c>
      <c r="X376" t="str">
        <f t="shared" si="104"/>
        <v>OK</v>
      </c>
      <c r="Y376" s="6">
        <f t="shared" si="105"/>
        <v>22</v>
      </c>
      <c r="Z376" s="6">
        <f t="shared" si="106"/>
        <v>22</v>
      </c>
    </row>
    <row r="377" spans="1:26" x14ac:dyDescent="0.3">
      <c r="A377" s="3" t="str">
        <f t="shared" si="90"/>
        <v>SKU376</v>
      </c>
      <c r="B377" s="3">
        <v>262</v>
      </c>
      <c r="C377" s="3">
        <f t="shared" si="92"/>
        <v>340.6</v>
      </c>
      <c r="D377" s="3">
        <v>83.19</v>
      </c>
      <c r="E377" s="3">
        <v>19</v>
      </c>
      <c r="F377" s="3" t="str" cm="1">
        <f t="array" aca="1" ref="F377" ca="1">INDEX({"Electronics","Clothing","Food","Furniture"}, RANDBETWEEN(1,4))</f>
        <v>Clothing</v>
      </c>
      <c r="G377" s="3">
        <v>50</v>
      </c>
      <c r="H377" s="3">
        <v>2</v>
      </c>
      <c r="I377" s="3">
        <f t="shared" si="91"/>
        <v>21795.78</v>
      </c>
      <c r="J377" s="3">
        <f t="shared" si="107"/>
        <v>27653892.330000002</v>
      </c>
      <c r="K377" s="4">
        <f t="shared" si="93"/>
        <v>0.94887072310704268</v>
      </c>
      <c r="M377" s="6">
        <f t="shared" si="94"/>
        <v>114.45523142259597</v>
      </c>
      <c r="N377" s="6">
        <f t="shared" si="95"/>
        <v>130.49904214207857</v>
      </c>
      <c r="O377" s="6">
        <f t="shared" si="96"/>
        <v>0.71780821917808224</v>
      </c>
      <c r="P377" s="6">
        <f t="shared" si="97"/>
        <v>13.638356164383563</v>
      </c>
      <c r="Q377" t="str">
        <f t="shared" si="98"/>
        <v>B</v>
      </c>
      <c r="R377" s="6">
        <f t="shared" si="99"/>
        <v>57.227615711297986</v>
      </c>
      <c r="S377" s="6">
        <f t="shared" si="100"/>
        <v>4.5782092569038388</v>
      </c>
      <c r="T377" s="6">
        <f t="shared" si="101"/>
        <v>114.45523142259597</v>
      </c>
      <c r="U377" s="6">
        <f t="shared" si="102"/>
        <v>28.613807855648993</v>
      </c>
      <c r="V377" s="6">
        <f t="shared" si="103"/>
        <v>143.06903927824496</v>
      </c>
      <c r="W377">
        <v>51</v>
      </c>
      <c r="X377" t="str">
        <f t="shared" si="104"/>
        <v>OK</v>
      </c>
      <c r="Y377" s="6">
        <f t="shared" si="105"/>
        <v>24</v>
      </c>
      <c r="Z377" s="6">
        <f t="shared" si="106"/>
        <v>24</v>
      </c>
    </row>
    <row r="378" spans="1:26" x14ac:dyDescent="0.3">
      <c r="A378" s="3" t="str">
        <f t="shared" si="90"/>
        <v>SKU377</v>
      </c>
      <c r="B378" s="3">
        <v>454</v>
      </c>
      <c r="C378" s="3">
        <f t="shared" si="92"/>
        <v>590.20000000000005</v>
      </c>
      <c r="D378" s="3">
        <v>47.91</v>
      </c>
      <c r="E378" s="3">
        <v>4</v>
      </c>
      <c r="F378" s="3" t="str" cm="1">
        <f t="array" aca="1" ref="F378" ca="1">INDEX({"Electronics","Clothing","Food","Furniture"}, RANDBETWEEN(1,4))</f>
        <v>Furniture</v>
      </c>
      <c r="G378" s="3">
        <v>50</v>
      </c>
      <c r="H378" s="3">
        <v>2</v>
      </c>
      <c r="I378" s="3">
        <f t="shared" si="91"/>
        <v>21751.14</v>
      </c>
      <c r="J378" s="3">
        <f t="shared" si="107"/>
        <v>27675643.470000003</v>
      </c>
      <c r="K378" s="4">
        <f t="shared" si="93"/>
        <v>0.94961705637882643</v>
      </c>
      <c r="M378" s="6">
        <f t="shared" si="94"/>
        <v>150.66519173319364</v>
      </c>
      <c r="N378" s="6">
        <f t="shared" si="95"/>
        <v>171.78474903203718</v>
      </c>
      <c r="O378" s="6">
        <f t="shared" si="96"/>
        <v>1.2438356164383562</v>
      </c>
      <c r="P378" s="6">
        <f t="shared" si="97"/>
        <v>4.9753424657534246</v>
      </c>
      <c r="Q378" t="str">
        <f t="shared" si="98"/>
        <v>B</v>
      </c>
      <c r="R378" s="6">
        <f t="shared" si="99"/>
        <v>75.332595866596819</v>
      </c>
      <c r="S378" s="6">
        <f t="shared" si="100"/>
        <v>6.0266076693277455</v>
      </c>
      <c r="T378" s="6">
        <f t="shared" si="101"/>
        <v>150.66519173319364</v>
      </c>
      <c r="U378" s="6">
        <f t="shared" si="102"/>
        <v>37.666297933298409</v>
      </c>
      <c r="V378" s="6">
        <f t="shared" si="103"/>
        <v>188.33148966649205</v>
      </c>
      <c r="W378">
        <v>49</v>
      </c>
      <c r="X378" t="str">
        <f t="shared" si="104"/>
        <v>OK</v>
      </c>
      <c r="Y378" s="6">
        <f t="shared" si="105"/>
        <v>9</v>
      </c>
      <c r="Z378" s="6">
        <f t="shared" si="106"/>
        <v>9</v>
      </c>
    </row>
    <row r="379" spans="1:26" x14ac:dyDescent="0.3">
      <c r="A379" s="3" t="str">
        <f t="shared" si="90"/>
        <v>SKU378</v>
      </c>
      <c r="B379" s="3">
        <v>351</v>
      </c>
      <c r="C379" s="3">
        <f t="shared" si="92"/>
        <v>456.3</v>
      </c>
      <c r="D379" s="3">
        <v>61.76</v>
      </c>
      <c r="E379" s="3">
        <v>10</v>
      </c>
      <c r="F379" s="3" t="str" cm="1">
        <f t="array" aca="1" ref="F379" ca="1">INDEX({"Electronics","Clothing","Food","Furniture"}, RANDBETWEEN(1,4))</f>
        <v>Furniture</v>
      </c>
      <c r="G379" s="3">
        <v>50</v>
      </c>
      <c r="H379" s="3">
        <v>2</v>
      </c>
      <c r="I379" s="3">
        <f t="shared" si="91"/>
        <v>21677.759999999998</v>
      </c>
      <c r="J379" s="3">
        <f t="shared" si="107"/>
        <v>27697321.230000004</v>
      </c>
      <c r="K379" s="4">
        <f t="shared" si="93"/>
        <v>0.95036087180853457</v>
      </c>
      <c r="M379" s="6">
        <f t="shared" si="94"/>
        <v>132.47641299491769</v>
      </c>
      <c r="N379" s="6">
        <f t="shared" si="95"/>
        <v>151.04635050208927</v>
      </c>
      <c r="O379" s="6">
        <f t="shared" si="96"/>
        <v>0.9616438356164384</v>
      </c>
      <c r="P379" s="6">
        <f t="shared" si="97"/>
        <v>9.6164383561643838</v>
      </c>
      <c r="Q379" t="str">
        <f t="shared" si="98"/>
        <v>C</v>
      </c>
      <c r="R379" s="6">
        <f t="shared" si="99"/>
        <v>66.238206497458847</v>
      </c>
      <c r="S379" s="6">
        <f t="shared" si="100"/>
        <v>5.2990565197967081</v>
      </c>
      <c r="T379" s="6">
        <f t="shared" si="101"/>
        <v>132.47641299491769</v>
      </c>
      <c r="U379" s="6">
        <f t="shared" si="102"/>
        <v>33.119103248729424</v>
      </c>
      <c r="V379" s="6">
        <f t="shared" si="103"/>
        <v>165.59551624364713</v>
      </c>
      <c r="W379">
        <v>48</v>
      </c>
      <c r="X379" t="str">
        <f t="shared" si="104"/>
        <v>OK</v>
      </c>
      <c r="Y379" s="6">
        <f t="shared" si="105"/>
        <v>15</v>
      </c>
      <c r="Z379" s="6">
        <f t="shared" si="106"/>
        <v>15</v>
      </c>
    </row>
    <row r="380" spans="1:26" x14ac:dyDescent="0.3">
      <c r="A380" s="3" t="str">
        <f t="shared" si="90"/>
        <v>SKU379</v>
      </c>
      <c r="B380" s="3">
        <v>1437</v>
      </c>
      <c r="C380" s="3">
        <f t="shared" si="92"/>
        <v>1868.1000000000001</v>
      </c>
      <c r="D380" s="3">
        <v>15.01</v>
      </c>
      <c r="E380" s="3">
        <v>14</v>
      </c>
      <c r="F380" s="3" t="str" cm="1">
        <f t="array" aca="1" ref="F380" ca="1">INDEX({"Electronics","Clothing","Food","Furniture"}, RANDBETWEEN(1,4))</f>
        <v>Electronics</v>
      </c>
      <c r="G380" s="3">
        <v>50</v>
      </c>
      <c r="H380" s="3">
        <v>2</v>
      </c>
      <c r="I380" s="3">
        <f t="shared" si="91"/>
        <v>21569.37</v>
      </c>
      <c r="J380" s="3">
        <f t="shared" si="107"/>
        <v>27718890.600000005</v>
      </c>
      <c r="K380" s="4">
        <f t="shared" si="93"/>
        <v>0.9511009681199194</v>
      </c>
      <c r="M380" s="6">
        <f t="shared" si="94"/>
        <v>268.04850307360419</v>
      </c>
      <c r="N380" s="6">
        <f t="shared" si="95"/>
        <v>305.62231593913424</v>
      </c>
      <c r="O380" s="6">
        <f t="shared" si="96"/>
        <v>3.9369863013698629</v>
      </c>
      <c r="P380" s="6">
        <f t="shared" si="97"/>
        <v>55.11780821917808</v>
      </c>
      <c r="Q380" t="str">
        <f t="shared" si="98"/>
        <v>C</v>
      </c>
      <c r="R380" s="6">
        <f t="shared" si="99"/>
        <v>134.0242515368021</v>
      </c>
      <c r="S380" s="6">
        <f t="shared" si="100"/>
        <v>10.721940122944169</v>
      </c>
      <c r="T380" s="6">
        <f t="shared" si="101"/>
        <v>268.04850307360419</v>
      </c>
      <c r="U380" s="6">
        <f t="shared" si="102"/>
        <v>67.012125768401049</v>
      </c>
      <c r="V380" s="6">
        <f t="shared" si="103"/>
        <v>335.06062884200526</v>
      </c>
      <c r="W380">
        <v>24</v>
      </c>
      <c r="X380" t="str">
        <f t="shared" si="104"/>
        <v>ALERT</v>
      </c>
      <c r="Y380" s="6">
        <f t="shared" si="105"/>
        <v>19</v>
      </c>
      <c r="Z380" s="6">
        <f t="shared" si="106"/>
        <v>76</v>
      </c>
    </row>
    <row r="381" spans="1:26" x14ac:dyDescent="0.3">
      <c r="A381" s="3" t="str">
        <f t="shared" si="90"/>
        <v>SKU380</v>
      </c>
      <c r="B381" s="3">
        <v>1366</v>
      </c>
      <c r="C381" s="3">
        <f t="shared" si="92"/>
        <v>1775.8</v>
      </c>
      <c r="D381" s="3">
        <v>15.67</v>
      </c>
      <c r="E381" s="3">
        <v>17</v>
      </c>
      <c r="F381" s="3" t="str" cm="1">
        <f t="array" aca="1" ref="F381" ca="1">INDEX({"Electronics","Clothing","Food","Furniture"}, RANDBETWEEN(1,4))</f>
        <v>Food</v>
      </c>
      <c r="G381" s="3">
        <v>50</v>
      </c>
      <c r="H381" s="3">
        <v>2</v>
      </c>
      <c r="I381" s="3">
        <f t="shared" si="91"/>
        <v>21405.22</v>
      </c>
      <c r="J381" s="3">
        <f t="shared" si="107"/>
        <v>27740295.820000004</v>
      </c>
      <c r="K381" s="4">
        <f t="shared" si="93"/>
        <v>0.95183543205495214</v>
      </c>
      <c r="M381" s="6">
        <f t="shared" si="94"/>
        <v>261.3426869074396</v>
      </c>
      <c r="N381" s="6">
        <f t="shared" si="95"/>
        <v>297.97650914124085</v>
      </c>
      <c r="O381" s="6">
        <f t="shared" si="96"/>
        <v>3.7424657534246575</v>
      </c>
      <c r="P381" s="6">
        <f t="shared" si="97"/>
        <v>63.62191780821918</v>
      </c>
      <c r="Q381" t="str">
        <f t="shared" si="98"/>
        <v>C</v>
      </c>
      <c r="R381" s="6">
        <f t="shared" si="99"/>
        <v>130.6713434537198</v>
      </c>
      <c r="S381" s="6">
        <f t="shared" si="100"/>
        <v>10.453707476297584</v>
      </c>
      <c r="T381" s="6">
        <f t="shared" si="101"/>
        <v>261.3426869074396</v>
      </c>
      <c r="U381" s="6">
        <f t="shared" si="102"/>
        <v>65.3356717268599</v>
      </c>
      <c r="V381" s="6">
        <f t="shared" si="103"/>
        <v>326.67835863429951</v>
      </c>
      <c r="W381">
        <v>61</v>
      </c>
      <c r="X381" t="str">
        <f t="shared" si="104"/>
        <v>ALERT</v>
      </c>
      <c r="Y381" s="6">
        <f t="shared" si="105"/>
        <v>22</v>
      </c>
      <c r="Z381" s="6">
        <f t="shared" si="106"/>
        <v>88</v>
      </c>
    </row>
    <row r="382" spans="1:26" x14ac:dyDescent="0.3">
      <c r="A382" s="3" t="str">
        <f t="shared" si="90"/>
        <v>SKU381</v>
      </c>
      <c r="B382" s="3">
        <v>237</v>
      </c>
      <c r="C382" s="3">
        <f t="shared" si="92"/>
        <v>308.10000000000002</v>
      </c>
      <c r="D382" s="3">
        <v>89.84</v>
      </c>
      <c r="E382" s="3">
        <v>20</v>
      </c>
      <c r="F382" s="3" t="str" cm="1">
        <f t="array" aca="1" ref="F382" ca="1">INDEX({"Electronics","Clothing","Food","Furniture"}, RANDBETWEEN(1,4))</f>
        <v>Electronics</v>
      </c>
      <c r="G382" s="3">
        <v>50</v>
      </c>
      <c r="H382" s="3">
        <v>2</v>
      </c>
      <c r="I382" s="3">
        <f t="shared" si="91"/>
        <v>21292.080000000002</v>
      </c>
      <c r="J382" s="3">
        <f t="shared" si="107"/>
        <v>27761587.900000002</v>
      </c>
      <c r="K382" s="4">
        <f t="shared" si="93"/>
        <v>0.95256601388788031</v>
      </c>
      <c r="M382" s="6">
        <f t="shared" si="94"/>
        <v>108.8577052853862</v>
      </c>
      <c r="N382" s="6">
        <f t="shared" si="95"/>
        <v>124.11688039908191</v>
      </c>
      <c r="O382" s="6">
        <f t="shared" si="96"/>
        <v>0.64931506849315068</v>
      </c>
      <c r="P382" s="6">
        <f t="shared" si="97"/>
        <v>12.986301369863014</v>
      </c>
      <c r="Q382" t="str">
        <f t="shared" si="98"/>
        <v>C</v>
      </c>
      <c r="R382" s="6">
        <f t="shared" si="99"/>
        <v>54.428852642693101</v>
      </c>
      <c r="S382" s="6">
        <f t="shared" si="100"/>
        <v>4.3543082114154483</v>
      </c>
      <c r="T382" s="6">
        <f t="shared" si="101"/>
        <v>108.8577052853862</v>
      </c>
      <c r="U382" s="6">
        <f t="shared" si="102"/>
        <v>27.214426321346551</v>
      </c>
      <c r="V382" s="6">
        <f t="shared" si="103"/>
        <v>136.07213160673274</v>
      </c>
      <c r="W382">
        <v>3</v>
      </c>
      <c r="X382" t="str">
        <f t="shared" si="104"/>
        <v>ALERT</v>
      </c>
      <c r="Y382" s="6">
        <f t="shared" si="105"/>
        <v>25</v>
      </c>
      <c r="Z382" s="6">
        <f t="shared" si="106"/>
        <v>25</v>
      </c>
    </row>
    <row r="383" spans="1:26" x14ac:dyDescent="0.3">
      <c r="A383" s="3" t="str">
        <f t="shared" si="90"/>
        <v>SKU382</v>
      </c>
      <c r="B383" s="3">
        <v>228</v>
      </c>
      <c r="C383" s="3">
        <f t="shared" si="92"/>
        <v>296.40000000000003</v>
      </c>
      <c r="D383" s="3">
        <v>93.32</v>
      </c>
      <c r="E383" s="3">
        <v>25</v>
      </c>
      <c r="F383" s="3" t="str" cm="1">
        <f t="array" aca="1" ref="F383" ca="1">INDEX({"Electronics","Clothing","Food","Furniture"}, RANDBETWEEN(1,4))</f>
        <v>Furniture</v>
      </c>
      <c r="G383" s="3">
        <v>50</v>
      </c>
      <c r="H383" s="3">
        <v>2</v>
      </c>
      <c r="I383" s="3">
        <f t="shared" si="91"/>
        <v>21276.959999999999</v>
      </c>
      <c r="J383" s="3">
        <f t="shared" si="107"/>
        <v>27782864.860000003</v>
      </c>
      <c r="K383" s="4">
        <f t="shared" si="93"/>
        <v>0.95329607691769902</v>
      </c>
      <c r="M383" s="6">
        <f t="shared" si="94"/>
        <v>106.77078252031311</v>
      </c>
      <c r="N383" s="6">
        <f t="shared" si="95"/>
        <v>121.73742234826562</v>
      </c>
      <c r="O383" s="6">
        <f t="shared" si="96"/>
        <v>0.62465753424657533</v>
      </c>
      <c r="P383" s="6">
        <f t="shared" si="97"/>
        <v>15.616438356164384</v>
      </c>
      <c r="Q383" t="str">
        <f t="shared" si="98"/>
        <v>C</v>
      </c>
      <c r="R383" s="6">
        <f t="shared" si="99"/>
        <v>53.385391260156553</v>
      </c>
      <c r="S383" s="6">
        <f t="shared" si="100"/>
        <v>4.2708313008125245</v>
      </c>
      <c r="T383" s="6">
        <f t="shared" si="101"/>
        <v>106.77078252031311</v>
      </c>
      <c r="U383" s="6">
        <f t="shared" si="102"/>
        <v>26.692695630078276</v>
      </c>
      <c r="V383" s="6">
        <f t="shared" si="103"/>
        <v>133.46347815039138</v>
      </c>
      <c r="W383">
        <v>43</v>
      </c>
      <c r="X383" t="str">
        <f t="shared" si="104"/>
        <v>OK</v>
      </c>
      <c r="Y383" s="6">
        <f t="shared" si="105"/>
        <v>30</v>
      </c>
      <c r="Z383" s="6">
        <f t="shared" si="106"/>
        <v>30</v>
      </c>
    </row>
    <row r="384" spans="1:26" x14ac:dyDescent="0.3">
      <c r="A384" s="3" t="str">
        <f t="shared" si="90"/>
        <v>SKU383</v>
      </c>
      <c r="B384" s="3">
        <v>1773</v>
      </c>
      <c r="C384" s="3">
        <f t="shared" si="92"/>
        <v>2304.9</v>
      </c>
      <c r="D384" s="3">
        <v>11.98</v>
      </c>
      <c r="E384" s="3">
        <v>26</v>
      </c>
      <c r="F384" s="3" t="str" cm="1">
        <f t="array" aca="1" ref="F384" ca="1">INDEX({"Electronics","Clothing","Food","Furniture"}, RANDBETWEEN(1,4))</f>
        <v>Food</v>
      </c>
      <c r="G384" s="3">
        <v>50</v>
      </c>
      <c r="H384" s="3">
        <v>2</v>
      </c>
      <c r="I384" s="3">
        <f t="shared" si="91"/>
        <v>21240.54</v>
      </c>
      <c r="J384" s="3">
        <f t="shared" si="107"/>
        <v>27804105.400000002</v>
      </c>
      <c r="K384" s="4">
        <f t="shared" si="93"/>
        <v>0.95402489029082116</v>
      </c>
      <c r="M384" s="6">
        <f t="shared" si="94"/>
        <v>297.74149861918812</v>
      </c>
      <c r="N384" s="6">
        <f t="shared" si="95"/>
        <v>339.47753975778721</v>
      </c>
      <c r="O384" s="6">
        <f t="shared" si="96"/>
        <v>4.8575342465753426</v>
      </c>
      <c r="P384" s="6">
        <f t="shared" si="97"/>
        <v>126.2958904109589</v>
      </c>
      <c r="Q384" t="str">
        <f t="shared" si="98"/>
        <v>C</v>
      </c>
      <c r="R384" s="6">
        <f t="shared" si="99"/>
        <v>148.87074930959406</v>
      </c>
      <c r="S384" s="6">
        <f t="shared" si="100"/>
        <v>11.909659944767524</v>
      </c>
      <c r="T384" s="6">
        <f t="shared" si="101"/>
        <v>297.74149861918812</v>
      </c>
      <c r="U384" s="6">
        <f t="shared" si="102"/>
        <v>74.43537465479703</v>
      </c>
      <c r="V384" s="6">
        <f t="shared" si="103"/>
        <v>372.17687327398517</v>
      </c>
      <c r="W384">
        <v>103</v>
      </c>
      <c r="X384" t="str">
        <f t="shared" si="104"/>
        <v>ALERT</v>
      </c>
      <c r="Y384" s="6">
        <f t="shared" si="105"/>
        <v>31</v>
      </c>
      <c r="Z384" s="6">
        <f t="shared" si="106"/>
        <v>155</v>
      </c>
    </row>
    <row r="385" spans="1:26" x14ac:dyDescent="0.3">
      <c r="A385" s="3" t="str">
        <f t="shared" si="90"/>
        <v>SKU384</v>
      </c>
      <c r="B385" s="3">
        <v>693</v>
      </c>
      <c r="C385" s="3">
        <f t="shared" si="92"/>
        <v>900.9</v>
      </c>
      <c r="D385" s="3">
        <v>30.2</v>
      </c>
      <c r="E385" s="3">
        <v>10</v>
      </c>
      <c r="F385" s="3" t="str" cm="1">
        <f t="array" aca="1" ref="F385" ca="1">INDEX({"Electronics","Clothing","Food","Furniture"}, RANDBETWEEN(1,4))</f>
        <v>Furniture</v>
      </c>
      <c r="G385" s="3">
        <v>50</v>
      </c>
      <c r="H385" s="3">
        <v>2</v>
      </c>
      <c r="I385" s="3">
        <f t="shared" si="91"/>
        <v>20928.599999999999</v>
      </c>
      <c r="J385" s="3">
        <f t="shared" si="107"/>
        <v>27825034.000000004</v>
      </c>
      <c r="K385" s="4">
        <f t="shared" si="93"/>
        <v>0.95474300026169412</v>
      </c>
      <c r="M385" s="6">
        <f t="shared" si="94"/>
        <v>186.14510468986285</v>
      </c>
      <c r="N385" s="6">
        <f t="shared" si="95"/>
        <v>212.23807386988793</v>
      </c>
      <c r="O385" s="6">
        <f t="shared" si="96"/>
        <v>1.8986301369863015</v>
      </c>
      <c r="P385" s="6">
        <f t="shared" si="97"/>
        <v>18.986301369863014</v>
      </c>
      <c r="Q385" t="str">
        <f t="shared" si="98"/>
        <v>C</v>
      </c>
      <c r="R385" s="6">
        <f t="shared" si="99"/>
        <v>93.072552344931424</v>
      </c>
      <c r="S385" s="6">
        <f t="shared" si="100"/>
        <v>7.445804187594514</v>
      </c>
      <c r="T385" s="6">
        <f t="shared" si="101"/>
        <v>186.14510468986285</v>
      </c>
      <c r="U385" s="6">
        <f t="shared" si="102"/>
        <v>46.536276172465712</v>
      </c>
      <c r="V385" s="6">
        <f t="shared" si="103"/>
        <v>232.68138086232855</v>
      </c>
      <c r="W385">
        <v>4</v>
      </c>
      <c r="X385" t="str">
        <f t="shared" si="104"/>
        <v>ALERT</v>
      </c>
      <c r="Y385" s="6">
        <f t="shared" si="105"/>
        <v>15</v>
      </c>
      <c r="Z385" s="6">
        <f t="shared" si="106"/>
        <v>30</v>
      </c>
    </row>
    <row r="386" spans="1:26" x14ac:dyDescent="0.3">
      <c r="A386" s="3" t="str">
        <f t="shared" ref="A386:A449" si="108">"SKU" &amp; TEXT(ROW()-1, "000")</f>
        <v>SKU385</v>
      </c>
      <c r="B386" s="3">
        <v>1451</v>
      </c>
      <c r="C386" s="3">
        <f t="shared" si="92"/>
        <v>1886.3</v>
      </c>
      <c r="D386" s="3">
        <v>14.41</v>
      </c>
      <c r="E386" s="3">
        <v>7</v>
      </c>
      <c r="F386" s="3" t="str" cm="1">
        <f t="array" aca="1" ref="F386" ca="1">INDEX({"Electronics","Clothing","Food","Furniture"}, RANDBETWEEN(1,4))</f>
        <v>Furniture</v>
      </c>
      <c r="G386" s="3">
        <v>50</v>
      </c>
      <c r="H386" s="3">
        <v>2</v>
      </c>
      <c r="I386" s="3">
        <f t="shared" ref="I386:I449" si="109">B386*D386</f>
        <v>20908.91</v>
      </c>
      <c r="J386" s="3">
        <f t="shared" si="107"/>
        <v>27845942.910000004</v>
      </c>
      <c r="K386" s="4">
        <f t="shared" si="93"/>
        <v>0.95546043462190378</v>
      </c>
      <c r="M386" s="6">
        <f t="shared" si="94"/>
        <v>269.35107202311264</v>
      </c>
      <c r="N386" s="6">
        <f t="shared" si="95"/>
        <v>307.10747304486097</v>
      </c>
      <c r="O386" s="6">
        <f t="shared" si="96"/>
        <v>3.9753424657534246</v>
      </c>
      <c r="P386" s="6">
        <f t="shared" si="97"/>
        <v>27.827397260273973</v>
      </c>
      <c r="Q386" t="str">
        <f t="shared" si="98"/>
        <v>C</v>
      </c>
      <c r="R386" s="6">
        <f t="shared" si="99"/>
        <v>134.67553601155632</v>
      </c>
      <c r="S386" s="6">
        <f t="shared" si="100"/>
        <v>10.774042880924505</v>
      </c>
      <c r="T386" s="6">
        <f t="shared" si="101"/>
        <v>269.35107202311264</v>
      </c>
      <c r="U386" s="6">
        <f t="shared" si="102"/>
        <v>67.337768005778159</v>
      </c>
      <c r="V386" s="6">
        <f t="shared" si="103"/>
        <v>336.68884002889081</v>
      </c>
      <c r="W386">
        <v>71</v>
      </c>
      <c r="X386" t="str">
        <f t="shared" si="104"/>
        <v>OK</v>
      </c>
      <c r="Y386" s="6">
        <f t="shared" si="105"/>
        <v>12</v>
      </c>
      <c r="Z386" s="6">
        <f t="shared" si="106"/>
        <v>48</v>
      </c>
    </row>
    <row r="387" spans="1:26" x14ac:dyDescent="0.3">
      <c r="A387" s="3" t="str">
        <f t="shared" si="108"/>
        <v>SKU386</v>
      </c>
      <c r="B387" s="3">
        <v>304</v>
      </c>
      <c r="C387" s="3">
        <f t="shared" ref="C387:C450" si="110">B387 * 1.3</f>
        <v>395.2</v>
      </c>
      <c r="D387" s="3">
        <v>68.16</v>
      </c>
      <c r="E387" s="3">
        <v>6</v>
      </c>
      <c r="F387" s="3" t="str" cm="1">
        <f t="array" aca="1" ref="F387" ca="1">INDEX({"Electronics","Clothing","Food","Furniture"}, RANDBETWEEN(1,4))</f>
        <v>Clothing</v>
      </c>
      <c r="G387" s="3">
        <v>50</v>
      </c>
      <c r="H387" s="3">
        <v>2</v>
      </c>
      <c r="I387" s="3">
        <f t="shared" si="109"/>
        <v>20720.64</v>
      </c>
      <c r="J387" s="3">
        <f t="shared" si="107"/>
        <v>27866663.550000004</v>
      </c>
      <c r="K387" s="4">
        <f t="shared" ref="K387:K450" si="111">J387/$L$2</f>
        <v>0.95617140899127717</v>
      </c>
      <c r="M387" s="6">
        <f t="shared" ref="M387:M450" si="112">SQRT((2 * B387 * G387) / H387)</f>
        <v>123.28828005937953</v>
      </c>
      <c r="N387" s="6">
        <f t="shared" ref="N387:N450" si="113">SQRT((2 * C387 * G387) / H387)</f>
        <v>140.57026712644463</v>
      </c>
      <c r="O387" s="6">
        <f t="shared" ref="O387:O450" si="114">B387 / 365</f>
        <v>0.83287671232876714</v>
      </c>
      <c r="P387" s="6">
        <f t="shared" ref="P387:P450" si="115">E387*O387</f>
        <v>4.9972602739726026</v>
      </c>
      <c r="Q387" t="str">
        <f t="shared" ref="Q387:Q450" si="116">IF(K387 &lt;= 0.8, "A", IF(K387 &lt;= 0.95, "B", "C"))</f>
        <v>C</v>
      </c>
      <c r="R387" s="6">
        <f t="shared" ref="R387:R450" si="117">M387/2</f>
        <v>61.644140029689765</v>
      </c>
      <c r="S387" s="6">
        <f t="shared" ref="S387:S450" si="118">B387/R387</f>
        <v>4.9315312023751812</v>
      </c>
      <c r="T387" s="6">
        <f t="shared" ref="T387:T450" si="119">(B387/M387)*G387</f>
        <v>123.28828005937953</v>
      </c>
      <c r="U387" s="6">
        <f t="shared" ref="U387:U450" si="120">R387/H387</f>
        <v>30.822070014844883</v>
      </c>
      <c r="V387" s="6">
        <f t="shared" ref="V387:V450" si="121">T387+U387</f>
        <v>154.11035007422441</v>
      </c>
      <c r="W387">
        <v>0</v>
      </c>
      <c r="X387" t="str">
        <f t="shared" ref="X387:X450" si="122">IF(W387 &lt; P387, "ALERT", "OK")</f>
        <v>ALERT</v>
      </c>
      <c r="Y387" s="6">
        <f t="shared" ref="Y387:Y450" si="123">E387 + 5</f>
        <v>11</v>
      </c>
      <c r="Z387" s="6">
        <f t="shared" ref="Z387:Z450" si="124">ROUND(Y387, 0) * ROUND(O387, 0)</f>
        <v>11</v>
      </c>
    </row>
    <row r="388" spans="1:26" x14ac:dyDescent="0.3">
      <c r="A388" s="3" t="str">
        <f t="shared" si="108"/>
        <v>SKU387</v>
      </c>
      <c r="B388" s="3">
        <v>269</v>
      </c>
      <c r="C388" s="3">
        <f t="shared" si="110"/>
        <v>349.7</v>
      </c>
      <c r="D388" s="3">
        <v>76.67</v>
      </c>
      <c r="E388" s="3">
        <v>23</v>
      </c>
      <c r="F388" s="3" t="str" cm="1">
        <f t="array" aca="1" ref="F388" ca="1">INDEX({"Electronics","Clothing","Food","Furniture"}, RANDBETWEEN(1,4))</f>
        <v>Furniture</v>
      </c>
      <c r="G388" s="3">
        <v>50</v>
      </c>
      <c r="H388" s="3">
        <v>2</v>
      </c>
      <c r="I388" s="3">
        <f t="shared" si="109"/>
        <v>20624.23</v>
      </c>
      <c r="J388" s="3">
        <f t="shared" ref="J388:J451" si="125">SUM(J387+I388)</f>
        <v>27887287.780000005</v>
      </c>
      <c r="K388" s="4">
        <f t="shared" si="111"/>
        <v>0.95687907530457939</v>
      </c>
      <c r="M388" s="6">
        <f t="shared" si="112"/>
        <v>115.97413504743201</v>
      </c>
      <c r="N388" s="6">
        <f t="shared" si="113"/>
        <v>132.23085872821065</v>
      </c>
      <c r="O388" s="6">
        <f t="shared" si="114"/>
        <v>0.73698630136986298</v>
      </c>
      <c r="P388" s="6">
        <f t="shared" si="115"/>
        <v>16.950684931506849</v>
      </c>
      <c r="Q388" t="str">
        <f t="shared" si="116"/>
        <v>C</v>
      </c>
      <c r="R388" s="6">
        <f t="shared" si="117"/>
        <v>57.987067523716007</v>
      </c>
      <c r="S388" s="6">
        <f t="shared" si="118"/>
        <v>4.6389654018972815</v>
      </c>
      <c r="T388" s="6">
        <f t="shared" si="119"/>
        <v>115.97413504743204</v>
      </c>
      <c r="U388" s="6">
        <f t="shared" si="120"/>
        <v>28.993533761858004</v>
      </c>
      <c r="V388" s="6">
        <f t="shared" si="121"/>
        <v>144.96766880929005</v>
      </c>
      <c r="W388">
        <v>1</v>
      </c>
      <c r="X388" t="str">
        <f t="shared" si="122"/>
        <v>ALERT</v>
      </c>
      <c r="Y388" s="6">
        <f t="shared" si="123"/>
        <v>28</v>
      </c>
      <c r="Z388" s="6">
        <f t="shared" si="124"/>
        <v>28</v>
      </c>
    </row>
    <row r="389" spans="1:26" x14ac:dyDescent="0.3">
      <c r="A389" s="3" t="str">
        <f t="shared" si="108"/>
        <v>SKU388</v>
      </c>
      <c r="B389" s="3">
        <v>267</v>
      </c>
      <c r="C389" s="3">
        <f t="shared" si="110"/>
        <v>347.1</v>
      </c>
      <c r="D389" s="3">
        <v>76.650000000000006</v>
      </c>
      <c r="E389" s="3">
        <v>24</v>
      </c>
      <c r="F389" s="3" t="str" cm="1">
        <f t="array" aca="1" ref="F389" ca="1">INDEX({"Electronics","Clothing","Food","Furniture"}, RANDBETWEEN(1,4))</f>
        <v>Furniture</v>
      </c>
      <c r="G389" s="3">
        <v>50</v>
      </c>
      <c r="H389" s="3">
        <v>2</v>
      </c>
      <c r="I389" s="3">
        <f t="shared" si="109"/>
        <v>20465.550000000003</v>
      </c>
      <c r="J389" s="3">
        <f t="shared" si="125"/>
        <v>27907753.330000006</v>
      </c>
      <c r="K389" s="4">
        <f t="shared" si="111"/>
        <v>0.95758129693022076</v>
      </c>
      <c r="M389" s="6">
        <f t="shared" si="112"/>
        <v>115.54220008291342</v>
      </c>
      <c r="N389" s="6">
        <f t="shared" si="113"/>
        <v>131.73837709642547</v>
      </c>
      <c r="O389" s="6">
        <f t="shared" si="114"/>
        <v>0.73150684931506849</v>
      </c>
      <c r="P389" s="6">
        <f t="shared" si="115"/>
        <v>17.556164383561644</v>
      </c>
      <c r="Q389" t="str">
        <f t="shared" si="116"/>
        <v>C</v>
      </c>
      <c r="R389" s="6">
        <f t="shared" si="117"/>
        <v>57.771100041456712</v>
      </c>
      <c r="S389" s="6">
        <f t="shared" si="118"/>
        <v>4.6216880033165371</v>
      </c>
      <c r="T389" s="6">
        <f t="shared" si="119"/>
        <v>115.54220008291342</v>
      </c>
      <c r="U389" s="6">
        <f t="shared" si="120"/>
        <v>28.885550020728356</v>
      </c>
      <c r="V389" s="6">
        <f t="shared" si="121"/>
        <v>144.42775010364178</v>
      </c>
      <c r="W389">
        <v>12</v>
      </c>
      <c r="X389" t="str">
        <f t="shared" si="122"/>
        <v>ALERT</v>
      </c>
      <c r="Y389" s="6">
        <f t="shared" si="123"/>
        <v>29</v>
      </c>
      <c r="Z389" s="6">
        <f t="shared" si="124"/>
        <v>29</v>
      </c>
    </row>
    <row r="390" spans="1:26" x14ac:dyDescent="0.3">
      <c r="A390" s="3" t="str">
        <f t="shared" si="108"/>
        <v>SKU389</v>
      </c>
      <c r="B390" s="3">
        <v>210</v>
      </c>
      <c r="C390" s="3">
        <f t="shared" si="110"/>
        <v>273</v>
      </c>
      <c r="D390" s="3">
        <v>97.4</v>
      </c>
      <c r="E390" s="3">
        <v>18</v>
      </c>
      <c r="F390" s="3" t="str" cm="1">
        <f t="array" aca="1" ref="F390" ca="1">INDEX({"Electronics","Clothing","Food","Furniture"}, RANDBETWEEN(1,4))</f>
        <v>Food</v>
      </c>
      <c r="G390" s="3">
        <v>50</v>
      </c>
      <c r="H390" s="3">
        <v>2</v>
      </c>
      <c r="I390" s="3">
        <f t="shared" si="109"/>
        <v>20454</v>
      </c>
      <c r="J390" s="3">
        <f t="shared" si="125"/>
        <v>27928207.330000006</v>
      </c>
      <c r="K390" s="4">
        <f t="shared" si="111"/>
        <v>0.95828312224793111</v>
      </c>
      <c r="M390" s="6">
        <f t="shared" si="112"/>
        <v>102.46950765959599</v>
      </c>
      <c r="N390" s="6">
        <f t="shared" si="113"/>
        <v>116.83321445547922</v>
      </c>
      <c r="O390" s="6">
        <f t="shared" si="114"/>
        <v>0.57534246575342463</v>
      </c>
      <c r="P390" s="6">
        <f t="shared" si="115"/>
        <v>10.356164383561643</v>
      </c>
      <c r="Q390" t="str">
        <f t="shared" si="116"/>
        <v>C</v>
      </c>
      <c r="R390" s="6">
        <f t="shared" si="117"/>
        <v>51.234753829797995</v>
      </c>
      <c r="S390" s="6">
        <f t="shared" si="118"/>
        <v>4.0987803063838388</v>
      </c>
      <c r="T390" s="6">
        <f t="shared" si="119"/>
        <v>102.46950765959598</v>
      </c>
      <c r="U390" s="6">
        <f t="shared" si="120"/>
        <v>25.617376914898998</v>
      </c>
      <c r="V390" s="6">
        <f t="shared" si="121"/>
        <v>128.08688457449497</v>
      </c>
      <c r="W390">
        <v>39</v>
      </c>
      <c r="X390" t="str">
        <f t="shared" si="122"/>
        <v>OK</v>
      </c>
      <c r="Y390" s="6">
        <f t="shared" si="123"/>
        <v>23</v>
      </c>
      <c r="Z390" s="6">
        <f t="shared" si="124"/>
        <v>23</v>
      </c>
    </row>
    <row r="391" spans="1:26" x14ac:dyDescent="0.3">
      <c r="A391" s="3" t="str">
        <f t="shared" si="108"/>
        <v>SKU390</v>
      </c>
      <c r="B391" s="3">
        <v>1173</v>
      </c>
      <c r="C391" s="3">
        <f t="shared" si="110"/>
        <v>1524.9</v>
      </c>
      <c r="D391" s="3">
        <v>17.420000000000002</v>
      </c>
      <c r="E391" s="3">
        <v>29</v>
      </c>
      <c r="F391" s="3" t="str" cm="1">
        <f t="array" aca="1" ref="F391" ca="1">INDEX({"Electronics","Clothing","Food","Furniture"}, RANDBETWEEN(1,4))</f>
        <v>Clothing</v>
      </c>
      <c r="G391" s="3">
        <v>50</v>
      </c>
      <c r="H391" s="3">
        <v>2</v>
      </c>
      <c r="I391" s="3">
        <f t="shared" si="109"/>
        <v>20433.660000000003</v>
      </c>
      <c r="J391" s="3">
        <f t="shared" si="125"/>
        <v>27948640.990000006</v>
      </c>
      <c r="K391" s="4">
        <f t="shared" si="111"/>
        <v>0.95898424965193452</v>
      </c>
      <c r="M391" s="6">
        <f t="shared" si="112"/>
        <v>242.17762076624669</v>
      </c>
      <c r="N391" s="6">
        <f t="shared" si="113"/>
        <v>276.12497170665313</v>
      </c>
      <c r="O391" s="6">
        <f t="shared" si="114"/>
        <v>3.2136986301369861</v>
      </c>
      <c r="P391" s="6">
        <f t="shared" si="115"/>
        <v>93.197260273972603</v>
      </c>
      <c r="Q391" t="str">
        <f t="shared" si="116"/>
        <v>C</v>
      </c>
      <c r="R391" s="6">
        <f t="shared" si="117"/>
        <v>121.08881038312335</v>
      </c>
      <c r="S391" s="6">
        <f t="shared" si="118"/>
        <v>9.6871048306498668</v>
      </c>
      <c r="T391" s="6">
        <f t="shared" si="119"/>
        <v>242.17762076624666</v>
      </c>
      <c r="U391" s="6">
        <f t="shared" si="120"/>
        <v>60.544405191561673</v>
      </c>
      <c r="V391" s="6">
        <f t="shared" si="121"/>
        <v>302.72202595780834</v>
      </c>
      <c r="W391">
        <v>134</v>
      </c>
      <c r="X391" t="str">
        <f t="shared" si="122"/>
        <v>OK</v>
      </c>
      <c r="Y391" s="6">
        <f t="shared" si="123"/>
        <v>34</v>
      </c>
      <c r="Z391" s="6">
        <f t="shared" si="124"/>
        <v>102</v>
      </c>
    </row>
    <row r="392" spans="1:26" x14ac:dyDescent="0.3">
      <c r="A392" s="3" t="str">
        <f t="shared" si="108"/>
        <v>SKU391</v>
      </c>
      <c r="B392" s="3">
        <v>313</v>
      </c>
      <c r="C392" s="3">
        <f t="shared" si="110"/>
        <v>406.90000000000003</v>
      </c>
      <c r="D392" s="3">
        <v>64.88</v>
      </c>
      <c r="E392" s="3">
        <v>9</v>
      </c>
      <c r="F392" s="3" t="str" cm="1">
        <f t="array" aca="1" ref="F392" ca="1">INDEX({"Electronics","Clothing","Food","Furniture"}, RANDBETWEEN(1,4))</f>
        <v>Electronics</v>
      </c>
      <c r="G392" s="3">
        <v>50</v>
      </c>
      <c r="H392" s="3">
        <v>2</v>
      </c>
      <c r="I392" s="3">
        <f t="shared" si="109"/>
        <v>20307.439999999999</v>
      </c>
      <c r="J392" s="3">
        <f t="shared" si="125"/>
        <v>27968948.430000007</v>
      </c>
      <c r="K392" s="4">
        <f t="shared" si="111"/>
        <v>0.9596810461479689</v>
      </c>
      <c r="M392" s="6">
        <f t="shared" si="112"/>
        <v>125.09996003196804</v>
      </c>
      <c r="N392" s="6">
        <f t="shared" si="113"/>
        <v>142.63590010933433</v>
      </c>
      <c r="O392" s="6">
        <f t="shared" si="114"/>
        <v>0.8575342465753425</v>
      </c>
      <c r="P392" s="6">
        <f t="shared" si="115"/>
        <v>7.7178082191780826</v>
      </c>
      <c r="Q392" t="str">
        <f t="shared" si="116"/>
        <v>C</v>
      </c>
      <c r="R392" s="6">
        <f t="shared" si="117"/>
        <v>62.549980015984019</v>
      </c>
      <c r="S392" s="6">
        <f t="shared" si="118"/>
        <v>5.0039984012787215</v>
      </c>
      <c r="T392" s="6">
        <f t="shared" si="119"/>
        <v>125.09996003196804</v>
      </c>
      <c r="U392" s="6">
        <f t="shared" si="120"/>
        <v>31.27499000799201</v>
      </c>
      <c r="V392" s="6">
        <f t="shared" si="121"/>
        <v>156.37495003996005</v>
      </c>
      <c r="W392">
        <v>14</v>
      </c>
      <c r="X392" t="str">
        <f t="shared" si="122"/>
        <v>OK</v>
      </c>
      <c r="Y392" s="6">
        <f t="shared" si="123"/>
        <v>14</v>
      </c>
      <c r="Z392" s="6">
        <f t="shared" si="124"/>
        <v>14</v>
      </c>
    </row>
    <row r="393" spans="1:26" x14ac:dyDescent="0.3">
      <c r="A393" s="3" t="str">
        <f t="shared" si="108"/>
        <v>SKU392</v>
      </c>
      <c r="B393" s="3">
        <v>569</v>
      </c>
      <c r="C393" s="3">
        <f t="shared" si="110"/>
        <v>739.7</v>
      </c>
      <c r="D393" s="3">
        <v>35.53</v>
      </c>
      <c r="E393" s="3">
        <v>13</v>
      </c>
      <c r="F393" s="3" t="str" cm="1">
        <f t="array" aca="1" ref="F393" ca="1">INDEX({"Electronics","Clothing","Food","Furniture"}, RANDBETWEEN(1,4))</f>
        <v>Clothing</v>
      </c>
      <c r="G393" s="3">
        <v>50</v>
      </c>
      <c r="H393" s="3">
        <v>2</v>
      </c>
      <c r="I393" s="3">
        <f t="shared" si="109"/>
        <v>20216.57</v>
      </c>
      <c r="J393" s="3">
        <f t="shared" si="125"/>
        <v>27989165.000000007</v>
      </c>
      <c r="K393" s="4">
        <f t="shared" si="111"/>
        <v>0.96037472467848928</v>
      </c>
      <c r="M393" s="6">
        <f t="shared" si="112"/>
        <v>168.67127793432999</v>
      </c>
      <c r="N393" s="6">
        <f t="shared" si="113"/>
        <v>192.31484602078956</v>
      </c>
      <c r="O393" s="6">
        <f t="shared" si="114"/>
        <v>1.558904109589041</v>
      </c>
      <c r="P393" s="6">
        <f t="shared" si="115"/>
        <v>20.265753424657532</v>
      </c>
      <c r="Q393" t="str">
        <f t="shared" si="116"/>
        <v>C</v>
      </c>
      <c r="R393" s="6">
        <f t="shared" si="117"/>
        <v>84.335638967164996</v>
      </c>
      <c r="S393" s="6">
        <f t="shared" si="118"/>
        <v>6.7468511173732004</v>
      </c>
      <c r="T393" s="6">
        <f t="shared" si="119"/>
        <v>168.67127793433002</v>
      </c>
      <c r="U393" s="6">
        <f t="shared" si="120"/>
        <v>42.167819483582498</v>
      </c>
      <c r="V393" s="6">
        <f t="shared" si="121"/>
        <v>210.83909741791251</v>
      </c>
      <c r="W393">
        <v>11</v>
      </c>
      <c r="X393" t="str">
        <f t="shared" si="122"/>
        <v>ALERT</v>
      </c>
      <c r="Y393" s="6">
        <f t="shared" si="123"/>
        <v>18</v>
      </c>
      <c r="Z393" s="6">
        <f t="shared" si="124"/>
        <v>36</v>
      </c>
    </row>
    <row r="394" spans="1:26" x14ac:dyDescent="0.3">
      <c r="A394" s="3" t="str">
        <f t="shared" si="108"/>
        <v>SKU393</v>
      </c>
      <c r="B394" s="3">
        <v>618</v>
      </c>
      <c r="C394" s="3">
        <f t="shared" si="110"/>
        <v>803.4</v>
      </c>
      <c r="D394" s="3">
        <v>32.42</v>
      </c>
      <c r="E394" s="3">
        <v>21</v>
      </c>
      <c r="F394" s="3" t="str" cm="1">
        <f t="array" aca="1" ref="F394" ca="1">INDEX({"Electronics","Clothing","Food","Furniture"}, RANDBETWEEN(1,4))</f>
        <v>Food</v>
      </c>
      <c r="G394" s="3">
        <v>50</v>
      </c>
      <c r="H394" s="3">
        <v>2</v>
      </c>
      <c r="I394" s="3">
        <f t="shared" si="109"/>
        <v>20035.560000000001</v>
      </c>
      <c r="J394" s="3">
        <f t="shared" si="125"/>
        <v>28009200.560000006</v>
      </c>
      <c r="K394" s="4">
        <f t="shared" si="111"/>
        <v>0.96106219232601564</v>
      </c>
      <c r="M394" s="6">
        <f t="shared" si="112"/>
        <v>175.78395831246945</v>
      </c>
      <c r="N394" s="6">
        <f t="shared" si="113"/>
        <v>200.42454939452901</v>
      </c>
      <c r="O394" s="6">
        <f t="shared" si="114"/>
        <v>1.6931506849315068</v>
      </c>
      <c r="P394" s="6">
        <f t="shared" si="115"/>
        <v>35.556164383561644</v>
      </c>
      <c r="Q394" t="str">
        <f t="shared" si="116"/>
        <v>C</v>
      </c>
      <c r="R394" s="6">
        <f t="shared" si="117"/>
        <v>87.891979156234726</v>
      </c>
      <c r="S394" s="6">
        <f t="shared" si="118"/>
        <v>7.0313583324987787</v>
      </c>
      <c r="T394" s="6">
        <f t="shared" si="119"/>
        <v>175.78395831246948</v>
      </c>
      <c r="U394" s="6">
        <f t="shared" si="120"/>
        <v>43.945989578117363</v>
      </c>
      <c r="V394" s="6">
        <f t="shared" si="121"/>
        <v>219.72994789058686</v>
      </c>
      <c r="W394">
        <v>61</v>
      </c>
      <c r="X394" t="str">
        <f t="shared" si="122"/>
        <v>OK</v>
      </c>
      <c r="Y394" s="6">
        <f t="shared" si="123"/>
        <v>26</v>
      </c>
      <c r="Z394" s="6">
        <f t="shared" si="124"/>
        <v>52</v>
      </c>
    </row>
    <row r="395" spans="1:26" x14ac:dyDescent="0.3">
      <c r="A395" s="3" t="str">
        <f t="shared" si="108"/>
        <v>SKU394</v>
      </c>
      <c r="B395" s="3">
        <v>217</v>
      </c>
      <c r="C395" s="3">
        <f t="shared" si="110"/>
        <v>282.10000000000002</v>
      </c>
      <c r="D395" s="3">
        <v>90.95</v>
      </c>
      <c r="E395" s="3">
        <v>3</v>
      </c>
      <c r="F395" s="3" t="str" cm="1">
        <f t="array" aca="1" ref="F395" ca="1">INDEX({"Electronics","Clothing","Food","Furniture"}, RANDBETWEEN(1,4))</f>
        <v>Food</v>
      </c>
      <c r="G395" s="3">
        <v>50</v>
      </c>
      <c r="H395" s="3">
        <v>2</v>
      </c>
      <c r="I395" s="3">
        <f t="shared" si="109"/>
        <v>19736.150000000001</v>
      </c>
      <c r="J395" s="3">
        <f t="shared" si="125"/>
        <v>28028936.710000005</v>
      </c>
      <c r="K395" s="4">
        <f t="shared" si="111"/>
        <v>0.96173938650535118</v>
      </c>
      <c r="M395" s="6">
        <f t="shared" si="112"/>
        <v>104.1633332799983</v>
      </c>
      <c r="N395" s="6">
        <f t="shared" si="113"/>
        <v>118.76447280226525</v>
      </c>
      <c r="O395" s="6">
        <f t="shared" si="114"/>
        <v>0.59452054794520548</v>
      </c>
      <c r="P395" s="6">
        <f t="shared" si="115"/>
        <v>1.7835616438356166</v>
      </c>
      <c r="Q395" t="str">
        <f t="shared" si="116"/>
        <v>C</v>
      </c>
      <c r="R395" s="6">
        <f t="shared" si="117"/>
        <v>52.081666639999149</v>
      </c>
      <c r="S395" s="6">
        <f t="shared" si="118"/>
        <v>4.1665333311999317</v>
      </c>
      <c r="T395" s="6">
        <f t="shared" si="119"/>
        <v>104.1633332799983</v>
      </c>
      <c r="U395" s="6">
        <f t="shared" si="120"/>
        <v>26.040833319999575</v>
      </c>
      <c r="V395" s="6">
        <f t="shared" si="121"/>
        <v>130.20416659999788</v>
      </c>
      <c r="W395">
        <v>0</v>
      </c>
      <c r="X395" t="str">
        <f t="shared" si="122"/>
        <v>ALERT</v>
      </c>
      <c r="Y395" s="6">
        <f t="shared" si="123"/>
        <v>8</v>
      </c>
      <c r="Z395" s="6">
        <f t="shared" si="124"/>
        <v>8</v>
      </c>
    </row>
    <row r="396" spans="1:26" x14ac:dyDescent="0.3">
      <c r="A396" s="3" t="str">
        <f t="shared" si="108"/>
        <v>SKU395</v>
      </c>
      <c r="B396" s="3">
        <v>294</v>
      </c>
      <c r="C396" s="3">
        <f t="shared" si="110"/>
        <v>382.2</v>
      </c>
      <c r="D396" s="3">
        <v>66.650000000000006</v>
      </c>
      <c r="E396" s="3">
        <v>12</v>
      </c>
      <c r="F396" s="3" t="str" cm="1">
        <f t="array" aca="1" ref="F396" ca="1">INDEX({"Electronics","Clothing","Food","Furniture"}, RANDBETWEEN(1,4))</f>
        <v>Food</v>
      </c>
      <c r="G396" s="3">
        <v>50</v>
      </c>
      <c r="H396" s="3">
        <v>2</v>
      </c>
      <c r="I396" s="3">
        <f t="shared" si="109"/>
        <v>19595.100000000002</v>
      </c>
      <c r="J396" s="3">
        <f t="shared" si="125"/>
        <v>28048531.810000006</v>
      </c>
      <c r="K396" s="4">
        <f t="shared" si="111"/>
        <v>0.96241174092419679</v>
      </c>
      <c r="M396" s="6">
        <f t="shared" si="112"/>
        <v>121.2435565298214</v>
      </c>
      <c r="N396" s="6">
        <f t="shared" si="113"/>
        <v>138.23892360692048</v>
      </c>
      <c r="O396" s="6">
        <f t="shared" si="114"/>
        <v>0.80547945205479454</v>
      </c>
      <c r="P396" s="6">
        <f t="shared" si="115"/>
        <v>9.6657534246575345</v>
      </c>
      <c r="Q396" t="str">
        <f t="shared" si="116"/>
        <v>C</v>
      </c>
      <c r="R396" s="6">
        <f t="shared" si="117"/>
        <v>60.621778264910702</v>
      </c>
      <c r="S396" s="6">
        <f t="shared" si="118"/>
        <v>4.8497422611928567</v>
      </c>
      <c r="T396" s="6">
        <f t="shared" si="119"/>
        <v>121.24355652982142</v>
      </c>
      <c r="U396" s="6">
        <f t="shared" si="120"/>
        <v>30.310889132455351</v>
      </c>
      <c r="V396" s="6">
        <f t="shared" si="121"/>
        <v>151.55444566227678</v>
      </c>
      <c r="W396">
        <v>40</v>
      </c>
      <c r="X396" t="str">
        <f t="shared" si="122"/>
        <v>OK</v>
      </c>
      <c r="Y396" s="6">
        <f t="shared" si="123"/>
        <v>17</v>
      </c>
      <c r="Z396" s="6">
        <f t="shared" si="124"/>
        <v>17</v>
      </c>
    </row>
    <row r="397" spans="1:26" x14ac:dyDescent="0.3">
      <c r="A397" s="3" t="str">
        <f t="shared" si="108"/>
        <v>SKU396</v>
      </c>
      <c r="B397" s="3">
        <v>1713</v>
      </c>
      <c r="C397" s="3">
        <f t="shared" si="110"/>
        <v>2226.9</v>
      </c>
      <c r="D397" s="3">
        <v>11.35</v>
      </c>
      <c r="E397" s="3">
        <v>5</v>
      </c>
      <c r="F397" s="3" t="str" cm="1">
        <f t="array" aca="1" ref="F397" ca="1">INDEX({"Electronics","Clothing","Food","Furniture"}, RANDBETWEEN(1,4))</f>
        <v>Furniture</v>
      </c>
      <c r="G397" s="3">
        <v>50</v>
      </c>
      <c r="H397" s="3">
        <v>2</v>
      </c>
      <c r="I397" s="3">
        <f t="shared" si="109"/>
        <v>19442.55</v>
      </c>
      <c r="J397" s="3">
        <f t="shared" si="125"/>
        <v>28067974.360000007</v>
      </c>
      <c r="K397" s="4">
        <f t="shared" si="111"/>
        <v>0.9630788609902402</v>
      </c>
      <c r="M397" s="6">
        <f t="shared" si="112"/>
        <v>292.66021253323794</v>
      </c>
      <c r="N397" s="6">
        <f t="shared" si="113"/>
        <v>333.68398223468864</v>
      </c>
      <c r="O397" s="6">
        <f t="shared" si="114"/>
        <v>4.6931506849315072</v>
      </c>
      <c r="P397" s="6">
        <f t="shared" si="115"/>
        <v>23.465753424657535</v>
      </c>
      <c r="Q397" t="str">
        <f t="shared" si="116"/>
        <v>C</v>
      </c>
      <c r="R397" s="6">
        <f t="shared" si="117"/>
        <v>146.33010626661897</v>
      </c>
      <c r="S397" s="6">
        <f t="shared" si="118"/>
        <v>11.706408501329518</v>
      </c>
      <c r="T397" s="6">
        <f t="shared" si="119"/>
        <v>292.66021253323794</v>
      </c>
      <c r="U397" s="6">
        <f t="shared" si="120"/>
        <v>73.165053133309485</v>
      </c>
      <c r="V397" s="6">
        <f t="shared" si="121"/>
        <v>365.82526566654741</v>
      </c>
      <c r="W397">
        <v>0</v>
      </c>
      <c r="X397" t="str">
        <f t="shared" si="122"/>
        <v>ALERT</v>
      </c>
      <c r="Y397" s="6">
        <f t="shared" si="123"/>
        <v>10</v>
      </c>
      <c r="Z397" s="6">
        <f t="shared" si="124"/>
        <v>50</v>
      </c>
    </row>
    <row r="398" spans="1:26" x14ac:dyDescent="0.3">
      <c r="A398" s="3" t="str">
        <f t="shared" si="108"/>
        <v>SKU397</v>
      </c>
      <c r="B398" s="3">
        <v>398</v>
      </c>
      <c r="C398" s="3">
        <f t="shared" si="110"/>
        <v>517.4</v>
      </c>
      <c r="D398" s="3">
        <v>48.84</v>
      </c>
      <c r="E398" s="3">
        <v>9</v>
      </c>
      <c r="F398" s="3" t="str" cm="1">
        <f t="array" aca="1" ref="F398" ca="1">INDEX({"Electronics","Clothing","Food","Furniture"}, RANDBETWEEN(1,4))</f>
        <v>Clothing</v>
      </c>
      <c r="G398" s="3">
        <v>50</v>
      </c>
      <c r="H398" s="3">
        <v>2</v>
      </c>
      <c r="I398" s="3">
        <f t="shared" si="109"/>
        <v>19438.32</v>
      </c>
      <c r="J398" s="3">
        <f t="shared" si="125"/>
        <v>28087412.680000007</v>
      </c>
      <c r="K398" s="4">
        <f t="shared" si="111"/>
        <v>0.96374583591493734</v>
      </c>
      <c r="M398" s="6">
        <f t="shared" si="112"/>
        <v>141.06735979665885</v>
      </c>
      <c r="N398" s="6">
        <f t="shared" si="113"/>
        <v>160.84153692376856</v>
      </c>
      <c r="O398" s="6">
        <f t="shared" si="114"/>
        <v>1.0904109589041096</v>
      </c>
      <c r="P398" s="6">
        <f t="shared" si="115"/>
        <v>9.8136986301369866</v>
      </c>
      <c r="Q398" t="str">
        <f t="shared" si="116"/>
        <v>C</v>
      </c>
      <c r="R398" s="6">
        <f t="shared" si="117"/>
        <v>70.533679898329424</v>
      </c>
      <c r="S398" s="6">
        <f t="shared" si="118"/>
        <v>5.6426943918663532</v>
      </c>
      <c r="T398" s="6">
        <f t="shared" si="119"/>
        <v>141.06735979665882</v>
      </c>
      <c r="U398" s="6">
        <f t="shared" si="120"/>
        <v>35.266839949164712</v>
      </c>
      <c r="V398" s="6">
        <f t="shared" si="121"/>
        <v>176.33419974582353</v>
      </c>
      <c r="W398">
        <v>58</v>
      </c>
      <c r="X398" t="str">
        <f t="shared" si="122"/>
        <v>OK</v>
      </c>
      <c r="Y398" s="6">
        <f t="shared" si="123"/>
        <v>14</v>
      </c>
      <c r="Z398" s="6">
        <f t="shared" si="124"/>
        <v>14</v>
      </c>
    </row>
    <row r="399" spans="1:26" x14ac:dyDescent="0.3">
      <c r="A399" s="3" t="str">
        <f t="shared" si="108"/>
        <v>SKU398</v>
      </c>
      <c r="B399" s="3">
        <v>397</v>
      </c>
      <c r="C399" s="3">
        <f t="shared" si="110"/>
        <v>516.1</v>
      </c>
      <c r="D399" s="3">
        <v>48.47</v>
      </c>
      <c r="E399" s="3">
        <v>24</v>
      </c>
      <c r="F399" s="3" t="str" cm="1">
        <f t="array" aca="1" ref="F399" ca="1">INDEX({"Electronics","Clothing","Food","Furniture"}, RANDBETWEEN(1,4))</f>
        <v>Electronics</v>
      </c>
      <c r="G399" s="3">
        <v>50</v>
      </c>
      <c r="H399" s="3">
        <v>2</v>
      </c>
      <c r="I399" s="3">
        <f t="shared" si="109"/>
        <v>19242.59</v>
      </c>
      <c r="J399" s="3">
        <f t="shared" si="125"/>
        <v>28106655.270000007</v>
      </c>
      <c r="K399" s="4">
        <f t="shared" si="111"/>
        <v>0.96440609487848095</v>
      </c>
      <c r="M399" s="6">
        <f t="shared" si="112"/>
        <v>140.89002803605371</v>
      </c>
      <c r="N399" s="6">
        <f t="shared" si="113"/>
        <v>160.63934760823702</v>
      </c>
      <c r="O399" s="6">
        <f t="shared" si="114"/>
        <v>1.0876712328767124</v>
      </c>
      <c r="P399" s="6">
        <f t="shared" si="115"/>
        <v>26.104109589041098</v>
      </c>
      <c r="Q399" t="str">
        <f t="shared" si="116"/>
        <v>C</v>
      </c>
      <c r="R399" s="6">
        <f t="shared" si="117"/>
        <v>70.445014018026853</v>
      </c>
      <c r="S399" s="6">
        <f t="shared" si="118"/>
        <v>5.6356011214421482</v>
      </c>
      <c r="T399" s="6">
        <f t="shared" si="119"/>
        <v>140.89002803605371</v>
      </c>
      <c r="U399" s="6">
        <f t="shared" si="120"/>
        <v>35.222507009013427</v>
      </c>
      <c r="V399" s="6">
        <f t="shared" si="121"/>
        <v>176.11253504506715</v>
      </c>
      <c r="W399">
        <v>50</v>
      </c>
      <c r="X399" t="str">
        <f t="shared" si="122"/>
        <v>OK</v>
      </c>
      <c r="Y399" s="6">
        <f t="shared" si="123"/>
        <v>29</v>
      </c>
      <c r="Z399" s="6">
        <f t="shared" si="124"/>
        <v>29</v>
      </c>
    </row>
    <row r="400" spans="1:26" x14ac:dyDescent="0.3">
      <c r="A400" s="3" t="str">
        <f t="shared" si="108"/>
        <v>SKU399</v>
      </c>
      <c r="B400" s="3">
        <v>219</v>
      </c>
      <c r="C400" s="3">
        <f t="shared" si="110"/>
        <v>284.7</v>
      </c>
      <c r="D400" s="3">
        <v>85.48</v>
      </c>
      <c r="E400" s="3">
        <v>6</v>
      </c>
      <c r="F400" s="3" t="str" cm="1">
        <f t="array" aca="1" ref="F400" ca="1">INDEX({"Electronics","Clothing","Food","Furniture"}, RANDBETWEEN(1,4))</f>
        <v>Food</v>
      </c>
      <c r="G400" s="3">
        <v>50</v>
      </c>
      <c r="H400" s="3">
        <v>2</v>
      </c>
      <c r="I400" s="3">
        <f t="shared" si="109"/>
        <v>18720.120000000003</v>
      </c>
      <c r="J400" s="3">
        <f t="shared" si="125"/>
        <v>28125375.390000008</v>
      </c>
      <c r="K400" s="4">
        <f t="shared" si="111"/>
        <v>0.96504842665547219</v>
      </c>
      <c r="M400" s="6">
        <f t="shared" si="112"/>
        <v>104.64224768228175</v>
      </c>
      <c r="N400" s="6">
        <f t="shared" si="113"/>
        <v>119.31051923447488</v>
      </c>
      <c r="O400" s="6">
        <f t="shared" si="114"/>
        <v>0.6</v>
      </c>
      <c r="P400" s="6">
        <f t="shared" si="115"/>
        <v>3.5999999999999996</v>
      </c>
      <c r="Q400" t="str">
        <f t="shared" si="116"/>
        <v>C</v>
      </c>
      <c r="R400" s="6">
        <f t="shared" si="117"/>
        <v>52.321123841140874</v>
      </c>
      <c r="S400" s="6">
        <f t="shared" si="118"/>
        <v>4.1856899072912697</v>
      </c>
      <c r="T400" s="6">
        <f t="shared" si="119"/>
        <v>104.64224768228175</v>
      </c>
      <c r="U400" s="6">
        <f t="shared" si="120"/>
        <v>26.160561920570437</v>
      </c>
      <c r="V400" s="6">
        <f t="shared" si="121"/>
        <v>130.80280960285219</v>
      </c>
      <c r="W400">
        <v>9</v>
      </c>
      <c r="X400" t="str">
        <f t="shared" si="122"/>
        <v>OK</v>
      </c>
      <c r="Y400" s="6">
        <f t="shared" si="123"/>
        <v>11</v>
      </c>
      <c r="Z400" s="6">
        <f t="shared" si="124"/>
        <v>11</v>
      </c>
    </row>
    <row r="401" spans="1:26" x14ac:dyDescent="0.3">
      <c r="A401" s="3" t="str">
        <f t="shared" si="108"/>
        <v>SKU400</v>
      </c>
      <c r="B401" s="3">
        <v>1796</v>
      </c>
      <c r="C401" s="3">
        <f t="shared" si="110"/>
        <v>2334.8000000000002</v>
      </c>
      <c r="D401" s="3">
        <v>10.31</v>
      </c>
      <c r="E401" s="3">
        <v>16</v>
      </c>
      <c r="F401" s="3" t="str" cm="1">
        <f t="array" aca="1" ref="F401" ca="1">INDEX({"Electronics","Clothing","Food","Furniture"}, RANDBETWEEN(1,4))</f>
        <v>Furniture</v>
      </c>
      <c r="G401" s="3">
        <v>50</v>
      </c>
      <c r="H401" s="3">
        <v>2</v>
      </c>
      <c r="I401" s="3">
        <f t="shared" si="109"/>
        <v>18516.760000000002</v>
      </c>
      <c r="J401" s="3">
        <f t="shared" si="125"/>
        <v>28143892.15000001</v>
      </c>
      <c r="K401" s="4">
        <f t="shared" si="111"/>
        <v>0.96568378066788874</v>
      </c>
      <c r="M401" s="6">
        <f t="shared" si="112"/>
        <v>299.66648127543397</v>
      </c>
      <c r="N401" s="6">
        <f t="shared" si="113"/>
        <v>341.67235767618081</v>
      </c>
      <c r="O401" s="6">
        <f t="shared" si="114"/>
        <v>4.9205479452054792</v>
      </c>
      <c r="P401" s="6">
        <f t="shared" si="115"/>
        <v>78.728767123287668</v>
      </c>
      <c r="Q401" t="str">
        <f t="shared" si="116"/>
        <v>C</v>
      </c>
      <c r="R401" s="6">
        <f t="shared" si="117"/>
        <v>149.83324063771698</v>
      </c>
      <c r="S401" s="6">
        <f t="shared" si="118"/>
        <v>11.986659251017356</v>
      </c>
      <c r="T401" s="6">
        <f t="shared" si="119"/>
        <v>299.66648127543391</v>
      </c>
      <c r="U401" s="6">
        <f t="shared" si="120"/>
        <v>74.916620318858492</v>
      </c>
      <c r="V401" s="6">
        <f t="shared" si="121"/>
        <v>374.58310159429243</v>
      </c>
      <c r="W401">
        <v>121</v>
      </c>
      <c r="X401" t="str">
        <f t="shared" si="122"/>
        <v>OK</v>
      </c>
      <c r="Y401" s="6">
        <f t="shared" si="123"/>
        <v>21</v>
      </c>
      <c r="Z401" s="6">
        <f t="shared" si="124"/>
        <v>105</v>
      </c>
    </row>
    <row r="402" spans="1:26" x14ac:dyDescent="0.3">
      <c r="A402" s="3" t="str">
        <f t="shared" si="108"/>
        <v>SKU401</v>
      </c>
      <c r="B402" s="3">
        <v>856</v>
      </c>
      <c r="C402" s="3">
        <f t="shared" si="110"/>
        <v>1112.8</v>
      </c>
      <c r="D402" s="3">
        <v>21.51</v>
      </c>
      <c r="E402" s="3">
        <v>23</v>
      </c>
      <c r="F402" s="3" t="str" cm="1">
        <f t="array" aca="1" ref="F402" ca="1">INDEX({"Electronics","Clothing","Food","Furniture"}, RANDBETWEEN(1,4))</f>
        <v>Furniture</v>
      </c>
      <c r="G402" s="3">
        <v>50</v>
      </c>
      <c r="H402" s="3">
        <v>2</v>
      </c>
      <c r="I402" s="3">
        <f t="shared" si="109"/>
        <v>18412.560000000001</v>
      </c>
      <c r="J402" s="3">
        <f t="shared" si="125"/>
        <v>28162304.710000008</v>
      </c>
      <c r="K402" s="4">
        <f t="shared" si="111"/>
        <v>0.96631555933083291</v>
      </c>
      <c r="M402" s="6">
        <f t="shared" si="112"/>
        <v>206.881608655772</v>
      </c>
      <c r="N402" s="6">
        <f t="shared" si="113"/>
        <v>235.88132609428834</v>
      </c>
      <c r="O402" s="6">
        <f t="shared" si="114"/>
        <v>2.3452054794520549</v>
      </c>
      <c r="P402" s="6">
        <f t="shared" si="115"/>
        <v>53.939726027397263</v>
      </c>
      <c r="Q402" t="str">
        <f t="shared" si="116"/>
        <v>C</v>
      </c>
      <c r="R402" s="6">
        <f t="shared" si="117"/>
        <v>103.440804327886</v>
      </c>
      <c r="S402" s="6">
        <f t="shared" si="118"/>
        <v>8.2752643462308804</v>
      </c>
      <c r="T402" s="6">
        <f t="shared" si="119"/>
        <v>206.881608655772</v>
      </c>
      <c r="U402" s="6">
        <f t="shared" si="120"/>
        <v>51.720402163943</v>
      </c>
      <c r="V402" s="6">
        <f t="shared" si="121"/>
        <v>258.60201081971502</v>
      </c>
      <c r="W402">
        <v>77</v>
      </c>
      <c r="X402" t="str">
        <f t="shared" si="122"/>
        <v>OK</v>
      </c>
      <c r="Y402" s="6">
        <f t="shared" si="123"/>
        <v>28</v>
      </c>
      <c r="Z402" s="6">
        <f t="shared" si="124"/>
        <v>56</v>
      </c>
    </row>
    <row r="403" spans="1:26" x14ac:dyDescent="0.3">
      <c r="A403" s="3" t="str">
        <f t="shared" si="108"/>
        <v>SKU402</v>
      </c>
      <c r="B403" s="3">
        <v>606</v>
      </c>
      <c r="C403" s="3">
        <f t="shared" si="110"/>
        <v>787.80000000000007</v>
      </c>
      <c r="D403" s="3">
        <v>29.77</v>
      </c>
      <c r="E403" s="3">
        <v>16</v>
      </c>
      <c r="F403" s="3" t="str" cm="1">
        <f t="array" aca="1" ref="F403" ca="1">INDEX({"Electronics","Clothing","Food","Furniture"}, RANDBETWEEN(1,4))</f>
        <v>Food</v>
      </c>
      <c r="G403" s="3">
        <v>50</v>
      </c>
      <c r="H403" s="3">
        <v>2</v>
      </c>
      <c r="I403" s="3">
        <f t="shared" si="109"/>
        <v>18040.62</v>
      </c>
      <c r="J403" s="3">
        <f t="shared" si="125"/>
        <v>28180345.330000009</v>
      </c>
      <c r="K403" s="4">
        <f t="shared" si="111"/>
        <v>0.96693457584902953</v>
      </c>
      <c r="M403" s="6">
        <f t="shared" si="112"/>
        <v>174.06895185529211</v>
      </c>
      <c r="N403" s="6">
        <f t="shared" si="113"/>
        <v>198.46914117816905</v>
      </c>
      <c r="O403" s="6">
        <f t="shared" si="114"/>
        <v>1.6602739726027398</v>
      </c>
      <c r="P403" s="6">
        <f t="shared" si="115"/>
        <v>26.564383561643837</v>
      </c>
      <c r="Q403" t="str">
        <f t="shared" si="116"/>
        <v>C</v>
      </c>
      <c r="R403" s="6">
        <f t="shared" si="117"/>
        <v>87.034475927646056</v>
      </c>
      <c r="S403" s="6">
        <f t="shared" si="118"/>
        <v>6.9627580742116839</v>
      </c>
      <c r="T403" s="6">
        <f t="shared" si="119"/>
        <v>174.06895185529208</v>
      </c>
      <c r="U403" s="6">
        <f t="shared" si="120"/>
        <v>43.517237963823028</v>
      </c>
      <c r="V403" s="6">
        <f t="shared" si="121"/>
        <v>217.58618981911511</v>
      </c>
      <c r="W403">
        <v>17</v>
      </c>
      <c r="X403" t="str">
        <f t="shared" si="122"/>
        <v>ALERT</v>
      </c>
      <c r="Y403" s="6">
        <f t="shared" si="123"/>
        <v>21</v>
      </c>
      <c r="Z403" s="6">
        <f t="shared" si="124"/>
        <v>42</v>
      </c>
    </row>
    <row r="404" spans="1:26" x14ac:dyDescent="0.3">
      <c r="A404" s="3" t="str">
        <f t="shared" si="108"/>
        <v>SKU403</v>
      </c>
      <c r="B404" s="3">
        <v>200</v>
      </c>
      <c r="C404" s="3">
        <f t="shared" si="110"/>
        <v>260</v>
      </c>
      <c r="D404" s="3">
        <v>89.4</v>
      </c>
      <c r="E404" s="3">
        <v>14</v>
      </c>
      <c r="F404" s="3" t="str" cm="1">
        <f t="array" aca="1" ref="F404" ca="1">INDEX({"Electronics","Clothing","Food","Furniture"}, RANDBETWEEN(1,4))</f>
        <v>Furniture</v>
      </c>
      <c r="G404" s="3">
        <v>50</v>
      </c>
      <c r="H404" s="3">
        <v>2</v>
      </c>
      <c r="I404" s="3">
        <f t="shared" si="109"/>
        <v>17880</v>
      </c>
      <c r="J404" s="3">
        <f t="shared" si="125"/>
        <v>28198225.330000009</v>
      </c>
      <c r="K404" s="4">
        <f t="shared" si="111"/>
        <v>0.96754808111355783</v>
      </c>
      <c r="M404" s="6">
        <f t="shared" si="112"/>
        <v>100</v>
      </c>
      <c r="N404" s="6">
        <f t="shared" si="113"/>
        <v>114.0175425099138</v>
      </c>
      <c r="O404" s="6">
        <f t="shared" si="114"/>
        <v>0.54794520547945202</v>
      </c>
      <c r="P404" s="6">
        <f t="shared" si="115"/>
        <v>7.6712328767123283</v>
      </c>
      <c r="Q404" t="str">
        <f t="shared" si="116"/>
        <v>C</v>
      </c>
      <c r="R404" s="6">
        <f t="shared" si="117"/>
        <v>50</v>
      </c>
      <c r="S404" s="6">
        <f t="shared" si="118"/>
        <v>4</v>
      </c>
      <c r="T404" s="6">
        <f t="shared" si="119"/>
        <v>100</v>
      </c>
      <c r="U404" s="6">
        <f t="shared" si="120"/>
        <v>25</v>
      </c>
      <c r="V404" s="6">
        <f t="shared" si="121"/>
        <v>125</v>
      </c>
      <c r="W404">
        <v>29</v>
      </c>
      <c r="X404" t="str">
        <f t="shared" si="122"/>
        <v>OK</v>
      </c>
      <c r="Y404" s="6">
        <f t="shared" si="123"/>
        <v>19</v>
      </c>
      <c r="Z404" s="6">
        <f t="shared" si="124"/>
        <v>19</v>
      </c>
    </row>
    <row r="405" spans="1:26" x14ac:dyDescent="0.3">
      <c r="A405" s="3" t="str">
        <f t="shared" si="108"/>
        <v>SKU404</v>
      </c>
      <c r="B405" s="3">
        <v>896</v>
      </c>
      <c r="C405" s="3">
        <f t="shared" si="110"/>
        <v>1164.8</v>
      </c>
      <c r="D405" s="3">
        <v>19.91</v>
      </c>
      <c r="E405" s="3">
        <v>27</v>
      </c>
      <c r="F405" s="3" t="str" cm="1">
        <f t="array" aca="1" ref="F405" ca="1">INDEX({"Electronics","Clothing","Food","Furniture"}, RANDBETWEEN(1,4))</f>
        <v>Food</v>
      </c>
      <c r="G405" s="3">
        <v>50</v>
      </c>
      <c r="H405" s="3">
        <v>2</v>
      </c>
      <c r="I405" s="3">
        <f t="shared" si="109"/>
        <v>17839.36</v>
      </c>
      <c r="J405" s="3">
        <f t="shared" si="125"/>
        <v>28216064.690000009</v>
      </c>
      <c r="K405" s="4">
        <f t="shared" si="111"/>
        <v>0.96816019192316727</v>
      </c>
      <c r="M405" s="6">
        <f t="shared" si="112"/>
        <v>211.66010488516724</v>
      </c>
      <c r="N405" s="6">
        <f t="shared" si="113"/>
        <v>241.3296500639737</v>
      </c>
      <c r="O405" s="6">
        <f t="shared" si="114"/>
        <v>2.4547945205479453</v>
      </c>
      <c r="P405" s="6">
        <f t="shared" si="115"/>
        <v>66.279452054794518</v>
      </c>
      <c r="Q405" t="str">
        <f t="shared" si="116"/>
        <v>C</v>
      </c>
      <c r="R405" s="6">
        <f t="shared" si="117"/>
        <v>105.83005244258362</v>
      </c>
      <c r="S405" s="6">
        <f t="shared" si="118"/>
        <v>8.4664041954066906</v>
      </c>
      <c r="T405" s="6">
        <f t="shared" si="119"/>
        <v>211.66010488516727</v>
      </c>
      <c r="U405" s="6">
        <f t="shared" si="120"/>
        <v>52.915026221291811</v>
      </c>
      <c r="V405" s="6">
        <f t="shared" si="121"/>
        <v>264.57513110645908</v>
      </c>
      <c r="W405">
        <v>59</v>
      </c>
      <c r="X405" t="str">
        <f t="shared" si="122"/>
        <v>ALERT</v>
      </c>
      <c r="Y405" s="6">
        <f t="shared" si="123"/>
        <v>32</v>
      </c>
      <c r="Z405" s="6">
        <f t="shared" si="124"/>
        <v>64</v>
      </c>
    </row>
    <row r="406" spans="1:26" x14ac:dyDescent="0.3">
      <c r="A406" s="3" t="str">
        <f t="shared" si="108"/>
        <v>SKU405</v>
      </c>
      <c r="B406" s="3">
        <v>296</v>
      </c>
      <c r="C406" s="3">
        <f t="shared" si="110"/>
        <v>384.8</v>
      </c>
      <c r="D406" s="3">
        <v>60.19</v>
      </c>
      <c r="E406" s="3">
        <v>19</v>
      </c>
      <c r="F406" s="3" t="str" cm="1">
        <f t="array" aca="1" ref="F406" ca="1">INDEX({"Electronics","Clothing","Food","Furniture"}, RANDBETWEEN(1,4))</f>
        <v>Electronics</v>
      </c>
      <c r="G406" s="3">
        <v>50</v>
      </c>
      <c r="H406" s="3">
        <v>2</v>
      </c>
      <c r="I406" s="3">
        <f t="shared" si="109"/>
        <v>17816.239999999998</v>
      </c>
      <c r="J406" s="3">
        <f t="shared" si="125"/>
        <v>28233880.930000007</v>
      </c>
      <c r="K406" s="4">
        <f t="shared" si="111"/>
        <v>0.96877150943066714</v>
      </c>
      <c r="M406" s="6">
        <f t="shared" si="112"/>
        <v>121.6552506059644</v>
      </c>
      <c r="N406" s="6">
        <f t="shared" si="113"/>
        <v>138.70832707519762</v>
      </c>
      <c r="O406" s="6">
        <f t="shared" si="114"/>
        <v>0.81095890410958904</v>
      </c>
      <c r="P406" s="6">
        <f t="shared" si="115"/>
        <v>15.408219178082192</v>
      </c>
      <c r="Q406" t="str">
        <f t="shared" si="116"/>
        <v>C</v>
      </c>
      <c r="R406" s="6">
        <f t="shared" si="117"/>
        <v>60.827625302982199</v>
      </c>
      <c r="S406" s="6">
        <f t="shared" si="118"/>
        <v>4.8662100242385753</v>
      </c>
      <c r="T406" s="6">
        <f t="shared" si="119"/>
        <v>121.65525060596438</v>
      </c>
      <c r="U406" s="6">
        <f t="shared" si="120"/>
        <v>30.413812651491099</v>
      </c>
      <c r="V406" s="6">
        <f t="shared" si="121"/>
        <v>152.06906325745547</v>
      </c>
      <c r="W406">
        <v>17</v>
      </c>
      <c r="X406" t="str">
        <f t="shared" si="122"/>
        <v>OK</v>
      </c>
      <c r="Y406" s="6">
        <f t="shared" si="123"/>
        <v>24</v>
      </c>
      <c r="Z406" s="6">
        <f t="shared" si="124"/>
        <v>24</v>
      </c>
    </row>
    <row r="407" spans="1:26" x14ac:dyDescent="0.3">
      <c r="A407" s="3" t="str">
        <f t="shared" si="108"/>
        <v>SKU406</v>
      </c>
      <c r="B407" s="3">
        <v>208</v>
      </c>
      <c r="C407" s="3">
        <f t="shared" si="110"/>
        <v>270.40000000000003</v>
      </c>
      <c r="D407" s="3">
        <v>83.27</v>
      </c>
      <c r="E407" s="3">
        <v>22</v>
      </c>
      <c r="F407" s="3" t="str" cm="1">
        <f t="array" aca="1" ref="F407" ca="1">INDEX({"Electronics","Clothing","Food","Furniture"}, RANDBETWEEN(1,4))</f>
        <v>Furniture</v>
      </c>
      <c r="G407" s="3">
        <v>50</v>
      </c>
      <c r="H407" s="3">
        <v>2</v>
      </c>
      <c r="I407" s="3">
        <f t="shared" si="109"/>
        <v>17320.16</v>
      </c>
      <c r="J407" s="3">
        <f t="shared" si="125"/>
        <v>28251201.090000007</v>
      </c>
      <c r="K407" s="4">
        <f t="shared" si="111"/>
        <v>0.96936580525519023</v>
      </c>
      <c r="M407" s="6">
        <f t="shared" si="112"/>
        <v>101.9803902718557</v>
      </c>
      <c r="N407" s="6">
        <f t="shared" si="113"/>
        <v>116.27553482998907</v>
      </c>
      <c r="O407" s="6">
        <f t="shared" si="114"/>
        <v>0.56986301369863013</v>
      </c>
      <c r="P407" s="6">
        <f t="shared" si="115"/>
        <v>12.536986301369863</v>
      </c>
      <c r="Q407" t="str">
        <f t="shared" si="116"/>
        <v>C</v>
      </c>
      <c r="R407" s="6">
        <f t="shared" si="117"/>
        <v>50.990195135927848</v>
      </c>
      <c r="S407" s="6">
        <f t="shared" si="118"/>
        <v>4.0792156108742281</v>
      </c>
      <c r="T407" s="6">
        <f t="shared" si="119"/>
        <v>101.9803902718557</v>
      </c>
      <c r="U407" s="6">
        <f t="shared" si="120"/>
        <v>25.495097567963924</v>
      </c>
      <c r="V407" s="6">
        <f t="shared" si="121"/>
        <v>127.47548783981962</v>
      </c>
      <c r="W407">
        <v>19</v>
      </c>
      <c r="X407" t="str">
        <f t="shared" si="122"/>
        <v>OK</v>
      </c>
      <c r="Y407" s="6">
        <f t="shared" si="123"/>
        <v>27</v>
      </c>
      <c r="Z407" s="6">
        <f t="shared" si="124"/>
        <v>27</v>
      </c>
    </row>
    <row r="408" spans="1:26" x14ac:dyDescent="0.3">
      <c r="A408" s="3" t="str">
        <f t="shared" si="108"/>
        <v>SKU407</v>
      </c>
      <c r="B408" s="3">
        <v>846</v>
      </c>
      <c r="C408" s="3">
        <f t="shared" si="110"/>
        <v>1099.8</v>
      </c>
      <c r="D408" s="3">
        <v>20.440000000000001</v>
      </c>
      <c r="E408" s="3">
        <v>28</v>
      </c>
      <c r="F408" s="3" t="str" cm="1">
        <f t="array" aca="1" ref="F408" ca="1">INDEX({"Electronics","Clothing","Food","Furniture"}, RANDBETWEEN(1,4))</f>
        <v>Food</v>
      </c>
      <c r="G408" s="3">
        <v>50</v>
      </c>
      <c r="H408" s="3">
        <v>2</v>
      </c>
      <c r="I408" s="3">
        <f t="shared" si="109"/>
        <v>17292.240000000002</v>
      </c>
      <c r="J408" s="3">
        <f t="shared" si="125"/>
        <v>28268493.330000006</v>
      </c>
      <c r="K408" s="4">
        <f t="shared" si="111"/>
        <v>0.96995914307820397</v>
      </c>
      <c r="M408" s="6">
        <f t="shared" si="112"/>
        <v>205.66963801203133</v>
      </c>
      <c r="N408" s="6">
        <f t="shared" si="113"/>
        <v>234.49946695035365</v>
      </c>
      <c r="O408" s="6">
        <f t="shared" si="114"/>
        <v>2.3178082191780822</v>
      </c>
      <c r="P408" s="6">
        <f t="shared" si="115"/>
        <v>64.898630136986299</v>
      </c>
      <c r="Q408" t="str">
        <f t="shared" si="116"/>
        <v>C</v>
      </c>
      <c r="R408" s="6">
        <f t="shared" si="117"/>
        <v>102.83481900601566</v>
      </c>
      <c r="S408" s="6">
        <f t="shared" si="118"/>
        <v>8.2267855204812523</v>
      </c>
      <c r="T408" s="6">
        <f t="shared" si="119"/>
        <v>205.6696380120313</v>
      </c>
      <c r="U408" s="6">
        <f t="shared" si="120"/>
        <v>51.417409503007832</v>
      </c>
      <c r="V408" s="6">
        <f t="shared" si="121"/>
        <v>257.0870475150391</v>
      </c>
      <c r="W408">
        <v>112</v>
      </c>
      <c r="X408" t="str">
        <f t="shared" si="122"/>
        <v>OK</v>
      </c>
      <c r="Y408" s="6">
        <f t="shared" si="123"/>
        <v>33</v>
      </c>
      <c r="Z408" s="6">
        <f t="shared" si="124"/>
        <v>66</v>
      </c>
    </row>
    <row r="409" spans="1:26" x14ac:dyDescent="0.3">
      <c r="A409" s="3" t="str">
        <f t="shared" si="108"/>
        <v>SKU408</v>
      </c>
      <c r="B409" s="3">
        <v>782</v>
      </c>
      <c r="C409" s="3">
        <f t="shared" si="110"/>
        <v>1016.6</v>
      </c>
      <c r="D409" s="3">
        <v>21.68</v>
      </c>
      <c r="E409" s="3">
        <v>6</v>
      </c>
      <c r="F409" s="3" t="str" cm="1">
        <f t="array" aca="1" ref="F409" ca="1">INDEX({"Electronics","Clothing","Food","Furniture"}, RANDBETWEEN(1,4))</f>
        <v>Electronics</v>
      </c>
      <c r="G409" s="3">
        <v>50</v>
      </c>
      <c r="H409" s="3">
        <v>2</v>
      </c>
      <c r="I409" s="3">
        <f t="shared" si="109"/>
        <v>16953.759999999998</v>
      </c>
      <c r="J409" s="3">
        <f t="shared" si="125"/>
        <v>28285447.090000007</v>
      </c>
      <c r="K409" s="4">
        <f t="shared" si="111"/>
        <v>0.9705408668485368</v>
      </c>
      <c r="M409" s="6">
        <f t="shared" si="112"/>
        <v>197.73719933285187</v>
      </c>
      <c r="N409" s="6">
        <f t="shared" si="113"/>
        <v>225.45509530724738</v>
      </c>
      <c r="O409" s="6">
        <f t="shared" si="114"/>
        <v>2.1424657534246574</v>
      </c>
      <c r="P409" s="6">
        <f t="shared" si="115"/>
        <v>12.854794520547944</v>
      </c>
      <c r="Q409" t="str">
        <f t="shared" si="116"/>
        <v>C</v>
      </c>
      <c r="R409" s="6">
        <f t="shared" si="117"/>
        <v>98.868599666425936</v>
      </c>
      <c r="S409" s="6">
        <f t="shared" si="118"/>
        <v>7.9094879733140759</v>
      </c>
      <c r="T409" s="6">
        <f t="shared" si="119"/>
        <v>197.7371993328519</v>
      </c>
      <c r="U409" s="6">
        <f t="shared" si="120"/>
        <v>49.434299833212968</v>
      </c>
      <c r="V409" s="6">
        <f t="shared" si="121"/>
        <v>247.17149916606488</v>
      </c>
      <c r="W409">
        <v>0</v>
      </c>
      <c r="X409" t="str">
        <f t="shared" si="122"/>
        <v>ALERT</v>
      </c>
      <c r="Y409" s="6">
        <f t="shared" si="123"/>
        <v>11</v>
      </c>
      <c r="Z409" s="6">
        <f t="shared" si="124"/>
        <v>22</v>
      </c>
    </row>
    <row r="410" spans="1:26" x14ac:dyDescent="0.3">
      <c r="A410" s="3" t="str">
        <f t="shared" si="108"/>
        <v>SKU409</v>
      </c>
      <c r="B410" s="3">
        <v>415</v>
      </c>
      <c r="C410" s="3">
        <f t="shared" si="110"/>
        <v>539.5</v>
      </c>
      <c r="D410" s="3">
        <v>40.65</v>
      </c>
      <c r="E410" s="3">
        <v>9</v>
      </c>
      <c r="F410" s="3" t="str" cm="1">
        <f t="array" aca="1" ref="F410" ca="1">INDEX({"Electronics","Clothing","Food","Furniture"}, RANDBETWEEN(1,4))</f>
        <v>Furniture</v>
      </c>
      <c r="G410" s="3">
        <v>50</v>
      </c>
      <c r="H410" s="3">
        <v>2</v>
      </c>
      <c r="I410" s="3">
        <f t="shared" si="109"/>
        <v>16869.75</v>
      </c>
      <c r="J410" s="3">
        <f t="shared" si="125"/>
        <v>28302316.840000007</v>
      </c>
      <c r="K410" s="4">
        <f t="shared" si="111"/>
        <v>0.97111970803624803</v>
      </c>
      <c r="M410" s="6">
        <f t="shared" si="112"/>
        <v>144.04860290887933</v>
      </c>
      <c r="N410" s="6">
        <f t="shared" si="113"/>
        <v>164.24067705656842</v>
      </c>
      <c r="O410" s="6">
        <f t="shared" si="114"/>
        <v>1.1369863013698631</v>
      </c>
      <c r="P410" s="6">
        <f t="shared" si="115"/>
        <v>10.232876712328768</v>
      </c>
      <c r="Q410" t="str">
        <f t="shared" si="116"/>
        <v>C</v>
      </c>
      <c r="R410" s="6">
        <f t="shared" si="117"/>
        <v>72.024301454439666</v>
      </c>
      <c r="S410" s="6">
        <f t="shared" si="118"/>
        <v>5.7619441163551732</v>
      </c>
      <c r="T410" s="6">
        <f t="shared" si="119"/>
        <v>144.04860290887933</v>
      </c>
      <c r="U410" s="6">
        <f t="shared" si="120"/>
        <v>36.012150727219833</v>
      </c>
      <c r="V410" s="6">
        <f t="shared" si="121"/>
        <v>180.06075363609915</v>
      </c>
      <c r="W410">
        <v>48</v>
      </c>
      <c r="X410" t="str">
        <f t="shared" si="122"/>
        <v>OK</v>
      </c>
      <c r="Y410" s="6">
        <f t="shared" si="123"/>
        <v>14</v>
      </c>
      <c r="Z410" s="6">
        <f t="shared" si="124"/>
        <v>14</v>
      </c>
    </row>
    <row r="411" spans="1:26" x14ac:dyDescent="0.3">
      <c r="A411" s="3" t="str">
        <f t="shared" si="108"/>
        <v>SKU410</v>
      </c>
      <c r="B411" s="3">
        <v>886</v>
      </c>
      <c r="C411" s="3">
        <f t="shared" si="110"/>
        <v>1151.8</v>
      </c>
      <c r="D411" s="3">
        <v>18.739999999999998</v>
      </c>
      <c r="E411" s="3">
        <v>11</v>
      </c>
      <c r="F411" s="3" t="str" cm="1">
        <f t="array" aca="1" ref="F411" ca="1">INDEX({"Electronics","Clothing","Food","Furniture"}, RANDBETWEEN(1,4))</f>
        <v>Electronics</v>
      </c>
      <c r="G411" s="3">
        <v>50</v>
      </c>
      <c r="H411" s="3">
        <v>2</v>
      </c>
      <c r="I411" s="3">
        <f t="shared" si="109"/>
        <v>16603.64</v>
      </c>
      <c r="J411" s="3">
        <f t="shared" si="125"/>
        <v>28318920.480000008</v>
      </c>
      <c r="K411" s="4">
        <f t="shared" si="111"/>
        <v>0.97168941835785494</v>
      </c>
      <c r="M411" s="6">
        <f t="shared" si="112"/>
        <v>210.4756517984919</v>
      </c>
      <c r="N411" s="6">
        <f t="shared" si="113"/>
        <v>239.97916576236364</v>
      </c>
      <c r="O411" s="6">
        <f t="shared" si="114"/>
        <v>2.4273972602739726</v>
      </c>
      <c r="P411" s="6">
        <f t="shared" si="115"/>
        <v>26.701369863013699</v>
      </c>
      <c r="Q411" t="str">
        <f t="shared" si="116"/>
        <v>C</v>
      </c>
      <c r="R411" s="6">
        <f t="shared" si="117"/>
        <v>105.23782589924595</v>
      </c>
      <c r="S411" s="6">
        <f t="shared" si="118"/>
        <v>8.4190260719396743</v>
      </c>
      <c r="T411" s="6">
        <f t="shared" si="119"/>
        <v>210.47565179849187</v>
      </c>
      <c r="U411" s="6">
        <f t="shared" si="120"/>
        <v>52.618912949622974</v>
      </c>
      <c r="V411" s="6">
        <f t="shared" si="121"/>
        <v>263.09456474811486</v>
      </c>
      <c r="W411">
        <v>5</v>
      </c>
      <c r="X411" t="str">
        <f t="shared" si="122"/>
        <v>ALERT</v>
      </c>
      <c r="Y411" s="6">
        <f t="shared" si="123"/>
        <v>16</v>
      </c>
      <c r="Z411" s="6">
        <f t="shared" si="124"/>
        <v>32</v>
      </c>
    </row>
    <row r="412" spans="1:26" x14ac:dyDescent="0.3">
      <c r="A412" s="3" t="str">
        <f t="shared" si="108"/>
        <v>SKU411</v>
      </c>
      <c r="B412" s="3">
        <v>459</v>
      </c>
      <c r="C412" s="3">
        <f t="shared" si="110"/>
        <v>596.70000000000005</v>
      </c>
      <c r="D412" s="3">
        <v>35.86</v>
      </c>
      <c r="E412" s="3">
        <v>24</v>
      </c>
      <c r="F412" s="3" t="str" cm="1">
        <f t="array" aca="1" ref="F412" ca="1">INDEX({"Electronics","Clothing","Food","Furniture"}, RANDBETWEEN(1,4))</f>
        <v>Furniture</v>
      </c>
      <c r="G412" s="3">
        <v>50</v>
      </c>
      <c r="H412" s="3">
        <v>2</v>
      </c>
      <c r="I412" s="3">
        <f t="shared" si="109"/>
        <v>16459.739999999998</v>
      </c>
      <c r="J412" s="3">
        <f t="shared" si="125"/>
        <v>28335380.220000006</v>
      </c>
      <c r="K412" s="4">
        <f t="shared" si="111"/>
        <v>0.97225419112870315</v>
      </c>
      <c r="M412" s="6">
        <f t="shared" si="112"/>
        <v>151.49257407543118</v>
      </c>
      <c r="N412" s="6">
        <f t="shared" si="113"/>
        <v>172.7281100458174</v>
      </c>
      <c r="O412" s="6">
        <f t="shared" si="114"/>
        <v>1.2575342465753425</v>
      </c>
      <c r="P412" s="6">
        <f t="shared" si="115"/>
        <v>30.18082191780822</v>
      </c>
      <c r="Q412" t="str">
        <f t="shared" si="116"/>
        <v>C</v>
      </c>
      <c r="R412" s="6">
        <f t="shared" si="117"/>
        <v>75.746287037715589</v>
      </c>
      <c r="S412" s="6">
        <f t="shared" si="118"/>
        <v>6.0597029630172461</v>
      </c>
      <c r="T412" s="6">
        <f t="shared" si="119"/>
        <v>151.49257407543115</v>
      </c>
      <c r="U412" s="6">
        <f t="shared" si="120"/>
        <v>37.873143518857795</v>
      </c>
      <c r="V412" s="6">
        <f t="shared" si="121"/>
        <v>189.36571759428895</v>
      </c>
      <c r="W412">
        <v>79</v>
      </c>
      <c r="X412" t="str">
        <f t="shared" si="122"/>
        <v>OK</v>
      </c>
      <c r="Y412" s="6">
        <f t="shared" si="123"/>
        <v>29</v>
      </c>
      <c r="Z412" s="6">
        <f t="shared" si="124"/>
        <v>29</v>
      </c>
    </row>
    <row r="413" spans="1:26" x14ac:dyDescent="0.3">
      <c r="A413" s="3" t="str">
        <f t="shared" si="108"/>
        <v>SKU412</v>
      </c>
      <c r="B413" s="3">
        <v>876</v>
      </c>
      <c r="C413" s="3">
        <f t="shared" si="110"/>
        <v>1138.8</v>
      </c>
      <c r="D413" s="3">
        <v>18.579999999999998</v>
      </c>
      <c r="E413" s="3">
        <v>14</v>
      </c>
      <c r="F413" s="3" t="str" cm="1">
        <f t="array" aca="1" ref="F413" ca="1">INDEX({"Electronics","Clothing","Food","Furniture"}, RANDBETWEEN(1,4))</f>
        <v>Electronics</v>
      </c>
      <c r="G413" s="3">
        <v>50</v>
      </c>
      <c r="H413" s="3">
        <v>2</v>
      </c>
      <c r="I413" s="3">
        <f t="shared" si="109"/>
        <v>16276.079999999998</v>
      </c>
      <c r="J413" s="3">
        <f t="shared" si="125"/>
        <v>28351656.300000004</v>
      </c>
      <c r="K413" s="4">
        <f t="shared" si="111"/>
        <v>0.97281266208876371</v>
      </c>
      <c r="M413" s="6">
        <f t="shared" si="112"/>
        <v>209.2844953645635</v>
      </c>
      <c r="N413" s="6">
        <f t="shared" si="113"/>
        <v>238.62103846894976</v>
      </c>
      <c r="O413" s="6">
        <f t="shared" si="114"/>
        <v>2.4</v>
      </c>
      <c r="P413" s="6">
        <f t="shared" si="115"/>
        <v>33.6</v>
      </c>
      <c r="Q413" t="str">
        <f t="shared" si="116"/>
        <v>C</v>
      </c>
      <c r="R413" s="6">
        <f t="shared" si="117"/>
        <v>104.64224768228175</v>
      </c>
      <c r="S413" s="6">
        <f t="shared" si="118"/>
        <v>8.3713798145825393</v>
      </c>
      <c r="T413" s="6">
        <f t="shared" si="119"/>
        <v>209.2844953645635</v>
      </c>
      <c r="U413" s="6">
        <f t="shared" si="120"/>
        <v>52.321123841140874</v>
      </c>
      <c r="V413" s="6">
        <f t="shared" si="121"/>
        <v>261.60561920570439</v>
      </c>
      <c r="W413">
        <v>76</v>
      </c>
      <c r="X413" t="str">
        <f t="shared" si="122"/>
        <v>OK</v>
      </c>
      <c r="Y413" s="6">
        <f t="shared" si="123"/>
        <v>19</v>
      </c>
      <c r="Z413" s="6">
        <f t="shared" si="124"/>
        <v>38</v>
      </c>
    </row>
    <row r="414" spans="1:26" x14ac:dyDescent="0.3">
      <c r="A414" s="3" t="str">
        <f t="shared" si="108"/>
        <v>SKU413</v>
      </c>
      <c r="B414" s="3">
        <v>1853</v>
      </c>
      <c r="C414" s="3">
        <f t="shared" si="110"/>
        <v>2408.9</v>
      </c>
      <c r="D414" s="3">
        <v>8.7799999999999994</v>
      </c>
      <c r="E414" s="3">
        <v>16</v>
      </c>
      <c r="F414" s="3" t="str" cm="1">
        <f t="array" aca="1" ref="F414" ca="1">INDEX({"Electronics","Clothing","Food","Furniture"}, RANDBETWEEN(1,4))</f>
        <v>Clothing</v>
      </c>
      <c r="G414" s="3">
        <v>50</v>
      </c>
      <c r="H414" s="3">
        <v>2</v>
      </c>
      <c r="I414" s="3">
        <f t="shared" si="109"/>
        <v>16269.339999999998</v>
      </c>
      <c r="J414" s="3">
        <f t="shared" si="125"/>
        <v>28367925.640000004</v>
      </c>
      <c r="K414" s="4">
        <f t="shared" si="111"/>
        <v>0.97337090178341701</v>
      </c>
      <c r="M414" s="6">
        <f t="shared" si="112"/>
        <v>304.38462510448846</v>
      </c>
      <c r="N414" s="6">
        <f t="shared" si="113"/>
        <v>347.0518693221519</v>
      </c>
      <c r="O414" s="6">
        <f t="shared" si="114"/>
        <v>5.0767123287671234</v>
      </c>
      <c r="P414" s="6">
        <f t="shared" si="115"/>
        <v>81.227397260273975</v>
      </c>
      <c r="Q414" t="str">
        <f t="shared" si="116"/>
        <v>C</v>
      </c>
      <c r="R414" s="6">
        <f t="shared" si="117"/>
        <v>152.19231255224423</v>
      </c>
      <c r="S414" s="6">
        <f t="shared" si="118"/>
        <v>12.175385004179541</v>
      </c>
      <c r="T414" s="6">
        <f t="shared" si="119"/>
        <v>304.38462510448852</v>
      </c>
      <c r="U414" s="6">
        <f t="shared" si="120"/>
        <v>76.096156276122116</v>
      </c>
      <c r="V414" s="6">
        <f t="shared" si="121"/>
        <v>380.48078138061067</v>
      </c>
      <c r="W414">
        <v>99</v>
      </c>
      <c r="X414" t="str">
        <f t="shared" si="122"/>
        <v>OK</v>
      </c>
      <c r="Y414" s="6">
        <f t="shared" si="123"/>
        <v>21</v>
      </c>
      <c r="Z414" s="6">
        <f t="shared" si="124"/>
        <v>105</v>
      </c>
    </row>
    <row r="415" spans="1:26" x14ac:dyDescent="0.3">
      <c r="A415" s="3" t="str">
        <f t="shared" si="108"/>
        <v>SKU414</v>
      </c>
      <c r="B415" s="3">
        <v>1077</v>
      </c>
      <c r="C415" s="3">
        <f t="shared" si="110"/>
        <v>1400.1000000000001</v>
      </c>
      <c r="D415" s="3">
        <v>14.99</v>
      </c>
      <c r="E415" s="3">
        <v>2</v>
      </c>
      <c r="F415" s="3" t="str" cm="1">
        <f t="array" aca="1" ref="F415" ca="1">INDEX({"Electronics","Clothing","Food","Furniture"}, RANDBETWEEN(1,4))</f>
        <v>Food</v>
      </c>
      <c r="G415" s="3">
        <v>50</v>
      </c>
      <c r="H415" s="3">
        <v>2</v>
      </c>
      <c r="I415" s="3">
        <f t="shared" si="109"/>
        <v>16144.23</v>
      </c>
      <c r="J415" s="3">
        <f t="shared" si="125"/>
        <v>28384069.870000005</v>
      </c>
      <c r="K415" s="4">
        <f t="shared" si="111"/>
        <v>0.97392484865683737</v>
      </c>
      <c r="M415" s="6">
        <f t="shared" si="112"/>
        <v>232.05602771744586</v>
      </c>
      <c r="N415" s="6">
        <f t="shared" si="113"/>
        <v>264.58458004955617</v>
      </c>
      <c r="O415" s="6">
        <f t="shared" si="114"/>
        <v>2.9506849315068493</v>
      </c>
      <c r="P415" s="6">
        <f t="shared" si="115"/>
        <v>5.9013698630136986</v>
      </c>
      <c r="Q415" t="str">
        <f t="shared" si="116"/>
        <v>C</v>
      </c>
      <c r="R415" s="6">
        <f t="shared" si="117"/>
        <v>116.02801385872293</v>
      </c>
      <c r="S415" s="6">
        <f t="shared" si="118"/>
        <v>9.2822411086978338</v>
      </c>
      <c r="T415" s="6">
        <f t="shared" si="119"/>
        <v>232.05602771744586</v>
      </c>
      <c r="U415" s="6">
        <f t="shared" si="120"/>
        <v>58.014006929361464</v>
      </c>
      <c r="V415" s="6">
        <f t="shared" si="121"/>
        <v>290.0700346468073</v>
      </c>
      <c r="W415">
        <v>3</v>
      </c>
      <c r="X415" t="str">
        <f t="shared" si="122"/>
        <v>ALERT</v>
      </c>
      <c r="Y415" s="6">
        <f t="shared" si="123"/>
        <v>7</v>
      </c>
      <c r="Z415" s="6">
        <f t="shared" si="124"/>
        <v>21</v>
      </c>
    </row>
    <row r="416" spans="1:26" x14ac:dyDescent="0.3">
      <c r="A416" s="3" t="str">
        <f t="shared" si="108"/>
        <v>SKU415</v>
      </c>
      <c r="B416" s="3">
        <v>895</v>
      </c>
      <c r="C416" s="3">
        <f t="shared" si="110"/>
        <v>1163.5</v>
      </c>
      <c r="D416" s="3">
        <v>17.96</v>
      </c>
      <c r="E416" s="3">
        <v>21</v>
      </c>
      <c r="F416" s="3" t="str" cm="1">
        <f t="array" aca="1" ref="F416" ca="1">INDEX({"Electronics","Clothing","Food","Furniture"}, RANDBETWEEN(1,4))</f>
        <v>Electronics</v>
      </c>
      <c r="G416" s="3">
        <v>50</v>
      </c>
      <c r="H416" s="3">
        <v>2</v>
      </c>
      <c r="I416" s="3">
        <f t="shared" si="109"/>
        <v>16074.2</v>
      </c>
      <c r="J416" s="3">
        <f t="shared" si="125"/>
        <v>28400144.070000004</v>
      </c>
      <c r="K416" s="4">
        <f t="shared" si="111"/>
        <v>0.97447639263463837</v>
      </c>
      <c r="M416" s="6">
        <f t="shared" si="112"/>
        <v>211.54195801306179</v>
      </c>
      <c r="N416" s="6">
        <f t="shared" si="113"/>
        <v>241.19494190384674</v>
      </c>
      <c r="O416" s="6">
        <f t="shared" si="114"/>
        <v>2.452054794520548</v>
      </c>
      <c r="P416" s="6">
        <f t="shared" si="115"/>
        <v>51.493150684931507</v>
      </c>
      <c r="Q416" t="str">
        <f t="shared" si="116"/>
        <v>C</v>
      </c>
      <c r="R416" s="6">
        <f t="shared" si="117"/>
        <v>105.77097900653089</v>
      </c>
      <c r="S416" s="6">
        <f t="shared" si="118"/>
        <v>8.4616783205224717</v>
      </c>
      <c r="T416" s="6">
        <f t="shared" si="119"/>
        <v>211.54195801306179</v>
      </c>
      <c r="U416" s="6">
        <f t="shared" si="120"/>
        <v>52.885489503265447</v>
      </c>
      <c r="V416" s="6">
        <f t="shared" si="121"/>
        <v>264.42744751632722</v>
      </c>
      <c r="W416">
        <v>57</v>
      </c>
      <c r="X416" t="str">
        <f t="shared" si="122"/>
        <v>OK</v>
      </c>
      <c r="Y416" s="6">
        <f t="shared" si="123"/>
        <v>26</v>
      </c>
      <c r="Z416" s="6">
        <f t="shared" si="124"/>
        <v>52</v>
      </c>
    </row>
    <row r="417" spans="1:26" x14ac:dyDescent="0.3">
      <c r="A417" s="3" t="str">
        <f t="shared" si="108"/>
        <v>SKU416</v>
      </c>
      <c r="B417" s="3">
        <v>316</v>
      </c>
      <c r="C417" s="3">
        <f t="shared" si="110"/>
        <v>410.8</v>
      </c>
      <c r="D417" s="3">
        <v>50.54</v>
      </c>
      <c r="E417" s="3">
        <v>21</v>
      </c>
      <c r="F417" s="3" t="str" cm="1">
        <f t="array" aca="1" ref="F417" ca="1">INDEX({"Electronics","Clothing","Food","Furniture"}, RANDBETWEEN(1,4))</f>
        <v>Clothing</v>
      </c>
      <c r="G417" s="3">
        <v>50</v>
      </c>
      <c r="H417" s="3">
        <v>2</v>
      </c>
      <c r="I417" s="3">
        <f t="shared" si="109"/>
        <v>15970.64</v>
      </c>
      <c r="J417" s="3">
        <f t="shared" si="125"/>
        <v>28416114.710000005</v>
      </c>
      <c r="K417" s="4">
        <f t="shared" si="111"/>
        <v>0.97502438322288698</v>
      </c>
      <c r="M417" s="6">
        <f t="shared" si="112"/>
        <v>125.69805089976535</v>
      </c>
      <c r="N417" s="6">
        <f t="shared" si="113"/>
        <v>143.31782861877304</v>
      </c>
      <c r="O417" s="6">
        <f t="shared" si="114"/>
        <v>0.86575342465753424</v>
      </c>
      <c r="P417" s="6">
        <f t="shared" si="115"/>
        <v>18.18082191780822</v>
      </c>
      <c r="Q417" t="str">
        <f t="shared" si="116"/>
        <v>C</v>
      </c>
      <c r="R417" s="6">
        <f t="shared" si="117"/>
        <v>62.849025449882674</v>
      </c>
      <c r="S417" s="6">
        <f t="shared" si="118"/>
        <v>5.0279220359906134</v>
      </c>
      <c r="T417" s="6">
        <f t="shared" si="119"/>
        <v>125.69805089976533</v>
      </c>
      <c r="U417" s="6">
        <f t="shared" si="120"/>
        <v>31.424512724941337</v>
      </c>
      <c r="V417" s="6">
        <f t="shared" si="121"/>
        <v>157.12256362470669</v>
      </c>
      <c r="W417">
        <v>27</v>
      </c>
      <c r="X417" t="str">
        <f t="shared" si="122"/>
        <v>OK</v>
      </c>
      <c r="Y417" s="6">
        <f t="shared" si="123"/>
        <v>26</v>
      </c>
      <c r="Z417" s="6">
        <f t="shared" si="124"/>
        <v>26</v>
      </c>
    </row>
    <row r="418" spans="1:26" x14ac:dyDescent="0.3">
      <c r="A418" s="3" t="str">
        <f t="shared" si="108"/>
        <v>SKU417</v>
      </c>
      <c r="B418" s="3">
        <v>678</v>
      </c>
      <c r="C418" s="3">
        <f t="shared" si="110"/>
        <v>881.4</v>
      </c>
      <c r="D418" s="3">
        <v>23.49</v>
      </c>
      <c r="E418" s="3">
        <v>23</v>
      </c>
      <c r="F418" s="3" t="str" cm="1">
        <f t="array" aca="1" ref="F418" ca="1">INDEX({"Electronics","Clothing","Food","Furniture"}, RANDBETWEEN(1,4))</f>
        <v>Clothing</v>
      </c>
      <c r="G418" s="3">
        <v>50</v>
      </c>
      <c r="H418" s="3">
        <v>2</v>
      </c>
      <c r="I418" s="3">
        <f t="shared" si="109"/>
        <v>15926.22</v>
      </c>
      <c r="J418" s="3">
        <f t="shared" si="125"/>
        <v>28432040.930000003</v>
      </c>
      <c r="K418" s="4">
        <f t="shared" si="111"/>
        <v>0.97557084965543939</v>
      </c>
      <c r="M418" s="6">
        <f t="shared" si="112"/>
        <v>184.11952639521968</v>
      </c>
      <c r="N418" s="6">
        <f t="shared" si="113"/>
        <v>209.92855927672156</v>
      </c>
      <c r="O418" s="6">
        <f t="shared" si="114"/>
        <v>1.8575342465753424</v>
      </c>
      <c r="P418" s="6">
        <f t="shared" si="115"/>
        <v>42.723287671232875</v>
      </c>
      <c r="Q418" t="str">
        <f t="shared" si="116"/>
        <v>C</v>
      </c>
      <c r="R418" s="6">
        <f t="shared" si="117"/>
        <v>92.05976319760984</v>
      </c>
      <c r="S418" s="6">
        <f t="shared" si="118"/>
        <v>7.3647810558087876</v>
      </c>
      <c r="T418" s="6">
        <f t="shared" si="119"/>
        <v>184.11952639521968</v>
      </c>
      <c r="U418" s="6">
        <f t="shared" si="120"/>
        <v>46.02988159880492</v>
      </c>
      <c r="V418" s="6">
        <f t="shared" si="121"/>
        <v>230.14940799402461</v>
      </c>
      <c r="W418">
        <v>14</v>
      </c>
      <c r="X418" t="str">
        <f t="shared" si="122"/>
        <v>ALERT</v>
      </c>
      <c r="Y418" s="6">
        <f t="shared" si="123"/>
        <v>28</v>
      </c>
      <c r="Z418" s="6">
        <f t="shared" si="124"/>
        <v>56</v>
      </c>
    </row>
    <row r="419" spans="1:26" x14ac:dyDescent="0.3">
      <c r="A419" s="3" t="str">
        <f t="shared" si="108"/>
        <v>SKU418</v>
      </c>
      <c r="B419" s="3">
        <v>1860</v>
      </c>
      <c r="C419" s="3">
        <f t="shared" si="110"/>
        <v>2418</v>
      </c>
      <c r="D419" s="3">
        <v>8.4700000000000006</v>
      </c>
      <c r="E419" s="3">
        <v>30</v>
      </c>
      <c r="F419" s="3" t="str" cm="1">
        <f t="array" aca="1" ref="F419" ca="1">INDEX({"Electronics","Clothing","Food","Furniture"}, RANDBETWEEN(1,4))</f>
        <v>Food</v>
      </c>
      <c r="G419" s="3">
        <v>50</v>
      </c>
      <c r="H419" s="3">
        <v>2</v>
      </c>
      <c r="I419" s="3">
        <f t="shared" si="109"/>
        <v>15754.2</v>
      </c>
      <c r="J419" s="3">
        <f t="shared" si="125"/>
        <v>28447795.130000003</v>
      </c>
      <c r="K419" s="4">
        <f t="shared" si="111"/>
        <v>0.97611141367324872</v>
      </c>
      <c r="M419" s="6">
        <f t="shared" si="112"/>
        <v>304.95901363953811</v>
      </c>
      <c r="N419" s="6">
        <f t="shared" si="113"/>
        <v>347.70677301427418</v>
      </c>
      <c r="O419" s="6">
        <f t="shared" si="114"/>
        <v>5.095890410958904</v>
      </c>
      <c r="P419" s="6">
        <f t="shared" si="115"/>
        <v>152.87671232876713</v>
      </c>
      <c r="Q419" t="str">
        <f t="shared" si="116"/>
        <v>C</v>
      </c>
      <c r="R419" s="6">
        <f t="shared" si="117"/>
        <v>152.47950681976906</v>
      </c>
      <c r="S419" s="6">
        <f t="shared" si="118"/>
        <v>12.198360545581526</v>
      </c>
      <c r="T419" s="6">
        <f t="shared" si="119"/>
        <v>304.95901363953817</v>
      </c>
      <c r="U419" s="6">
        <f t="shared" si="120"/>
        <v>76.239753409884528</v>
      </c>
      <c r="V419" s="6">
        <f t="shared" si="121"/>
        <v>381.19876704942271</v>
      </c>
      <c r="W419">
        <v>196</v>
      </c>
      <c r="X419" t="str">
        <f t="shared" si="122"/>
        <v>OK</v>
      </c>
      <c r="Y419" s="6">
        <f t="shared" si="123"/>
        <v>35</v>
      </c>
      <c r="Z419" s="6">
        <f t="shared" si="124"/>
        <v>175</v>
      </c>
    </row>
    <row r="420" spans="1:26" x14ac:dyDescent="0.3">
      <c r="A420" s="3" t="str">
        <f t="shared" si="108"/>
        <v>SKU419</v>
      </c>
      <c r="B420" s="3">
        <v>776</v>
      </c>
      <c r="C420" s="3">
        <f t="shared" si="110"/>
        <v>1008.8000000000001</v>
      </c>
      <c r="D420" s="3">
        <v>20.14</v>
      </c>
      <c r="E420" s="3">
        <v>29</v>
      </c>
      <c r="F420" s="3" t="str" cm="1">
        <f t="array" aca="1" ref="F420" ca="1">INDEX({"Electronics","Clothing","Food","Furniture"}, RANDBETWEEN(1,4))</f>
        <v>Furniture</v>
      </c>
      <c r="G420" s="3">
        <v>50</v>
      </c>
      <c r="H420" s="3">
        <v>2</v>
      </c>
      <c r="I420" s="3">
        <f t="shared" si="109"/>
        <v>15628.640000000001</v>
      </c>
      <c r="J420" s="3">
        <f t="shared" si="125"/>
        <v>28463423.770000003</v>
      </c>
      <c r="K420" s="4">
        <f t="shared" si="111"/>
        <v>0.9766476694292564</v>
      </c>
      <c r="M420" s="6">
        <f t="shared" si="112"/>
        <v>196.97715603592209</v>
      </c>
      <c r="N420" s="6">
        <f t="shared" si="113"/>
        <v>224.58851261807672</v>
      </c>
      <c r="O420" s="6">
        <f t="shared" si="114"/>
        <v>2.1260273972602741</v>
      </c>
      <c r="P420" s="6">
        <f t="shared" si="115"/>
        <v>61.654794520547952</v>
      </c>
      <c r="Q420" t="str">
        <f t="shared" si="116"/>
        <v>C</v>
      </c>
      <c r="R420" s="6">
        <f t="shared" si="117"/>
        <v>98.488578017961046</v>
      </c>
      <c r="S420" s="6">
        <f t="shared" si="118"/>
        <v>7.8790862414368839</v>
      </c>
      <c r="T420" s="6">
        <f t="shared" si="119"/>
        <v>196.97715603592209</v>
      </c>
      <c r="U420" s="6">
        <f t="shared" si="120"/>
        <v>49.244289008980523</v>
      </c>
      <c r="V420" s="6">
        <f t="shared" si="121"/>
        <v>246.22144504490262</v>
      </c>
      <c r="W420">
        <v>99</v>
      </c>
      <c r="X420" t="str">
        <f t="shared" si="122"/>
        <v>OK</v>
      </c>
      <c r="Y420" s="6">
        <f t="shared" si="123"/>
        <v>34</v>
      </c>
      <c r="Z420" s="6">
        <f t="shared" si="124"/>
        <v>68</v>
      </c>
    </row>
    <row r="421" spans="1:26" x14ac:dyDescent="0.3">
      <c r="A421" s="3" t="str">
        <f t="shared" si="108"/>
        <v>SKU420</v>
      </c>
      <c r="B421" s="3">
        <v>545</v>
      </c>
      <c r="C421" s="3">
        <f t="shared" si="110"/>
        <v>708.5</v>
      </c>
      <c r="D421" s="3">
        <v>28.49</v>
      </c>
      <c r="E421" s="3">
        <v>29</v>
      </c>
      <c r="F421" s="3" t="str" cm="1">
        <f t="array" aca="1" ref="F421" ca="1">INDEX({"Electronics","Clothing","Food","Furniture"}, RANDBETWEEN(1,4))</f>
        <v>Electronics</v>
      </c>
      <c r="G421" s="3">
        <v>50</v>
      </c>
      <c r="H421" s="3">
        <v>2</v>
      </c>
      <c r="I421" s="3">
        <f t="shared" si="109"/>
        <v>15527.05</v>
      </c>
      <c r="J421" s="3">
        <f t="shared" si="125"/>
        <v>28478950.820000004</v>
      </c>
      <c r="K421" s="4">
        <f t="shared" si="111"/>
        <v>0.97718043939109056</v>
      </c>
      <c r="M421" s="6">
        <f t="shared" si="112"/>
        <v>165.07574019219177</v>
      </c>
      <c r="N421" s="6">
        <f t="shared" si="113"/>
        <v>188.21530224718711</v>
      </c>
      <c r="O421" s="6">
        <f t="shared" si="114"/>
        <v>1.4931506849315068</v>
      </c>
      <c r="P421" s="6">
        <f t="shared" si="115"/>
        <v>43.301369863013697</v>
      </c>
      <c r="Q421" t="str">
        <f t="shared" si="116"/>
        <v>C</v>
      </c>
      <c r="R421" s="6">
        <f t="shared" si="117"/>
        <v>82.537870096095887</v>
      </c>
      <c r="S421" s="6">
        <f t="shared" si="118"/>
        <v>6.6030296076876711</v>
      </c>
      <c r="T421" s="6">
        <f t="shared" si="119"/>
        <v>165.07574019219177</v>
      </c>
      <c r="U421" s="6">
        <f t="shared" si="120"/>
        <v>41.268935048047943</v>
      </c>
      <c r="V421" s="6">
        <f t="shared" si="121"/>
        <v>206.34467524023972</v>
      </c>
      <c r="W421">
        <v>1</v>
      </c>
      <c r="X421" t="str">
        <f t="shared" si="122"/>
        <v>ALERT</v>
      </c>
      <c r="Y421" s="6">
        <f t="shared" si="123"/>
        <v>34</v>
      </c>
      <c r="Z421" s="6">
        <f t="shared" si="124"/>
        <v>34</v>
      </c>
    </row>
    <row r="422" spans="1:26" x14ac:dyDescent="0.3">
      <c r="A422" s="3" t="str">
        <f t="shared" si="108"/>
        <v>SKU421</v>
      </c>
      <c r="B422" s="3">
        <v>674</v>
      </c>
      <c r="C422" s="3">
        <f t="shared" si="110"/>
        <v>876.2</v>
      </c>
      <c r="D422" s="3">
        <v>22.75</v>
      </c>
      <c r="E422" s="3">
        <v>16</v>
      </c>
      <c r="F422" s="3" t="str" cm="1">
        <f t="array" aca="1" ref="F422" ca="1">INDEX({"Electronics","Clothing","Food","Furniture"}, RANDBETWEEN(1,4))</f>
        <v>Electronics</v>
      </c>
      <c r="G422" s="3">
        <v>50</v>
      </c>
      <c r="H422" s="3">
        <v>2</v>
      </c>
      <c r="I422" s="3">
        <f t="shared" si="109"/>
        <v>15333.5</v>
      </c>
      <c r="J422" s="3">
        <f t="shared" si="125"/>
        <v>28494284.320000004</v>
      </c>
      <c r="K422" s="4">
        <f t="shared" si="111"/>
        <v>0.97770656819274859</v>
      </c>
      <c r="M422" s="6">
        <f t="shared" si="112"/>
        <v>183.5755975068582</v>
      </c>
      <c r="N422" s="6">
        <f t="shared" si="113"/>
        <v>209.30838492521031</v>
      </c>
      <c r="O422" s="6">
        <f t="shared" si="114"/>
        <v>1.8465753424657534</v>
      </c>
      <c r="P422" s="6">
        <f t="shared" si="115"/>
        <v>29.545205479452054</v>
      </c>
      <c r="Q422" t="str">
        <f t="shared" si="116"/>
        <v>C</v>
      </c>
      <c r="R422" s="6">
        <f t="shared" si="117"/>
        <v>91.787798753429101</v>
      </c>
      <c r="S422" s="6">
        <f t="shared" si="118"/>
        <v>7.3430239002743276</v>
      </c>
      <c r="T422" s="6">
        <f t="shared" si="119"/>
        <v>183.5755975068582</v>
      </c>
      <c r="U422" s="6">
        <f t="shared" si="120"/>
        <v>45.89389937671455</v>
      </c>
      <c r="V422" s="6">
        <f t="shared" si="121"/>
        <v>229.46949688357276</v>
      </c>
      <c r="W422">
        <v>66</v>
      </c>
      <c r="X422" t="str">
        <f t="shared" si="122"/>
        <v>OK</v>
      </c>
      <c r="Y422" s="6">
        <f t="shared" si="123"/>
        <v>21</v>
      </c>
      <c r="Z422" s="6">
        <f t="shared" si="124"/>
        <v>42</v>
      </c>
    </row>
    <row r="423" spans="1:26" x14ac:dyDescent="0.3">
      <c r="A423" s="3" t="str">
        <f t="shared" si="108"/>
        <v>SKU422</v>
      </c>
      <c r="B423" s="3">
        <v>542</v>
      </c>
      <c r="C423" s="3">
        <f t="shared" si="110"/>
        <v>704.6</v>
      </c>
      <c r="D423" s="3">
        <v>27.19</v>
      </c>
      <c r="E423" s="3">
        <v>17</v>
      </c>
      <c r="F423" s="3" t="str" cm="1">
        <f t="array" aca="1" ref="F423" ca="1">INDEX({"Electronics","Clothing","Food","Furniture"}, RANDBETWEEN(1,4))</f>
        <v>Clothing</v>
      </c>
      <c r="G423" s="3">
        <v>50</v>
      </c>
      <c r="H423" s="3">
        <v>2</v>
      </c>
      <c r="I423" s="3">
        <f t="shared" si="109"/>
        <v>14736.980000000001</v>
      </c>
      <c r="J423" s="3">
        <f t="shared" si="125"/>
        <v>28509021.300000004</v>
      </c>
      <c r="K423" s="4">
        <f t="shared" si="111"/>
        <v>0.9782122289764873</v>
      </c>
      <c r="M423" s="6">
        <f t="shared" si="112"/>
        <v>164.62077633154328</v>
      </c>
      <c r="N423" s="6">
        <f t="shared" si="113"/>
        <v>187.69656363396746</v>
      </c>
      <c r="O423" s="6">
        <f t="shared" si="114"/>
        <v>1.484931506849315</v>
      </c>
      <c r="P423" s="6">
        <f t="shared" si="115"/>
        <v>25.243835616438353</v>
      </c>
      <c r="Q423" t="str">
        <f t="shared" si="116"/>
        <v>C</v>
      </c>
      <c r="R423" s="6">
        <f t="shared" si="117"/>
        <v>82.310388165771641</v>
      </c>
      <c r="S423" s="6">
        <f t="shared" si="118"/>
        <v>6.5848310532617313</v>
      </c>
      <c r="T423" s="6">
        <f t="shared" si="119"/>
        <v>164.62077633154328</v>
      </c>
      <c r="U423" s="6">
        <f t="shared" si="120"/>
        <v>41.155194082885821</v>
      </c>
      <c r="V423" s="6">
        <f t="shared" si="121"/>
        <v>205.77597041442911</v>
      </c>
      <c r="W423">
        <v>71</v>
      </c>
      <c r="X423" t="str">
        <f t="shared" si="122"/>
        <v>OK</v>
      </c>
      <c r="Y423" s="6">
        <f t="shared" si="123"/>
        <v>22</v>
      </c>
      <c r="Z423" s="6">
        <f t="shared" si="124"/>
        <v>22</v>
      </c>
    </row>
    <row r="424" spans="1:26" x14ac:dyDescent="0.3">
      <c r="A424" s="3" t="str">
        <f t="shared" si="108"/>
        <v>SKU423</v>
      </c>
      <c r="B424" s="3">
        <v>168</v>
      </c>
      <c r="C424" s="3">
        <f t="shared" si="110"/>
        <v>218.4</v>
      </c>
      <c r="D424" s="3">
        <v>87.2</v>
      </c>
      <c r="E424" s="3">
        <v>1</v>
      </c>
      <c r="F424" s="3" t="str" cm="1">
        <f t="array" aca="1" ref="F424" ca="1">INDEX({"Electronics","Clothing","Food","Furniture"}, RANDBETWEEN(1,4))</f>
        <v>Furniture</v>
      </c>
      <c r="G424" s="3">
        <v>50</v>
      </c>
      <c r="H424" s="3">
        <v>2</v>
      </c>
      <c r="I424" s="3">
        <f t="shared" si="109"/>
        <v>14649.6</v>
      </c>
      <c r="J424" s="3">
        <f t="shared" si="125"/>
        <v>28523670.900000006</v>
      </c>
      <c r="K424" s="4">
        <f t="shared" si="111"/>
        <v>0.97871489154490088</v>
      </c>
      <c r="M424" s="6">
        <f t="shared" si="112"/>
        <v>91.651513899116793</v>
      </c>
      <c r="N424" s="6">
        <f t="shared" si="113"/>
        <v>104.49880382090505</v>
      </c>
      <c r="O424" s="6">
        <f t="shared" si="114"/>
        <v>0.46027397260273972</v>
      </c>
      <c r="P424" s="6">
        <f t="shared" si="115"/>
        <v>0.46027397260273972</v>
      </c>
      <c r="Q424" t="str">
        <f t="shared" si="116"/>
        <v>C</v>
      </c>
      <c r="R424" s="6">
        <f t="shared" si="117"/>
        <v>45.825756949558397</v>
      </c>
      <c r="S424" s="6">
        <f t="shared" si="118"/>
        <v>3.6660605559646724</v>
      </c>
      <c r="T424" s="6">
        <f t="shared" si="119"/>
        <v>91.651513899116807</v>
      </c>
      <c r="U424" s="6">
        <f t="shared" si="120"/>
        <v>22.912878474779198</v>
      </c>
      <c r="V424" s="6">
        <f t="shared" si="121"/>
        <v>114.564392373896</v>
      </c>
      <c r="W424">
        <v>18</v>
      </c>
      <c r="X424" t="str">
        <f t="shared" si="122"/>
        <v>OK</v>
      </c>
      <c r="Y424" s="6">
        <f t="shared" si="123"/>
        <v>6</v>
      </c>
      <c r="Z424" s="6">
        <f t="shared" si="124"/>
        <v>0</v>
      </c>
    </row>
    <row r="425" spans="1:26" x14ac:dyDescent="0.3">
      <c r="A425" s="3" t="str">
        <f t="shared" si="108"/>
        <v>SKU424</v>
      </c>
      <c r="B425" s="3">
        <v>253</v>
      </c>
      <c r="C425" s="3">
        <f t="shared" si="110"/>
        <v>328.90000000000003</v>
      </c>
      <c r="D425" s="3">
        <v>57.73</v>
      </c>
      <c r="E425" s="3">
        <v>3</v>
      </c>
      <c r="F425" s="3" t="str" cm="1">
        <f t="array" aca="1" ref="F425" ca="1">INDEX({"Electronics","Clothing","Food","Furniture"}, RANDBETWEEN(1,4))</f>
        <v>Furniture</v>
      </c>
      <c r="G425" s="3">
        <v>50</v>
      </c>
      <c r="H425" s="3">
        <v>2</v>
      </c>
      <c r="I425" s="3">
        <f t="shared" si="109"/>
        <v>14605.689999999999</v>
      </c>
      <c r="J425" s="3">
        <f t="shared" si="125"/>
        <v>28538276.590000007</v>
      </c>
      <c r="K425" s="4">
        <f t="shared" si="111"/>
        <v>0.97921604745692936</v>
      </c>
      <c r="M425" s="6">
        <f t="shared" si="112"/>
        <v>112.47221879201993</v>
      </c>
      <c r="N425" s="6">
        <f t="shared" si="113"/>
        <v>128.23805987303459</v>
      </c>
      <c r="O425" s="6">
        <f t="shared" si="114"/>
        <v>0.69315068493150689</v>
      </c>
      <c r="P425" s="6">
        <f t="shared" si="115"/>
        <v>2.0794520547945208</v>
      </c>
      <c r="Q425" t="str">
        <f t="shared" si="116"/>
        <v>C</v>
      </c>
      <c r="R425" s="6">
        <f t="shared" si="117"/>
        <v>56.236109396009965</v>
      </c>
      <c r="S425" s="6">
        <f t="shared" si="118"/>
        <v>4.4988887516807967</v>
      </c>
      <c r="T425" s="6">
        <f t="shared" si="119"/>
        <v>112.47221879201992</v>
      </c>
      <c r="U425" s="6">
        <f t="shared" si="120"/>
        <v>28.118054698004983</v>
      </c>
      <c r="V425" s="6">
        <f t="shared" si="121"/>
        <v>140.59027349002491</v>
      </c>
      <c r="W425">
        <v>0</v>
      </c>
      <c r="X425" t="str">
        <f t="shared" si="122"/>
        <v>ALERT</v>
      </c>
      <c r="Y425" s="6">
        <f t="shared" si="123"/>
        <v>8</v>
      </c>
      <c r="Z425" s="6">
        <f t="shared" si="124"/>
        <v>8</v>
      </c>
    </row>
    <row r="426" spans="1:26" x14ac:dyDescent="0.3">
      <c r="A426" s="3" t="str">
        <f t="shared" si="108"/>
        <v>SKU425</v>
      </c>
      <c r="B426" s="3">
        <v>220</v>
      </c>
      <c r="C426" s="3">
        <f t="shared" si="110"/>
        <v>286</v>
      </c>
      <c r="D426" s="3">
        <v>65.33</v>
      </c>
      <c r="E426" s="3">
        <v>4</v>
      </c>
      <c r="F426" s="3" t="str" cm="1">
        <f t="array" aca="1" ref="F426" ca="1">INDEX({"Electronics","Clothing","Food","Furniture"}, RANDBETWEEN(1,4))</f>
        <v>Food</v>
      </c>
      <c r="G426" s="3">
        <v>50</v>
      </c>
      <c r="H426" s="3">
        <v>2</v>
      </c>
      <c r="I426" s="3">
        <f t="shared" si="109"/>
        <v>14372.6</v>
      </c>
      <c r="J426" s="3">
        <f t="shared" si="125"/>
        <v>28552649.190000009</v>
      </c>
      <c r="K426" s="4">
        <f t="shared" si="111"/>
        <v>0.9797092054974752</v>
      </c>
      <c r="M426" s="6">
        <f t="shared" si="112"/>
        <v>104.88088481701516</v>
      </c>
      <c r="N426" s="6">
        <f t="shared" si="113"/>
        <v>119.58260743101398</v>
      </c>
      <c r="O426" s="6">
        <f t="shared" si="114"/>
        <v>0.60273972602739723</v>
      </c>
      <c r="P426" s="6">
        <f t="shared" si="115"/>
        <v>2.4109589041095889</v>
      </c>
      <c r="Q426" t="str">
        <f t="shared" si="116"/>
        <v>C</v>
      </c>
      <c r="R426" s="6">
        <f t="shared" si="117"/>
        <v>52.440442408507579</v>
      </c>
      <c r="S426" s="6">
        <f t="shared" si="118"/>
        <v>4.1952353926806056</v>
      </c>
      <c r="T426" s="6">
        <f t="shared" si="119"/>
        <v>104.88088481701514</v>
      </c>
      <c r="U426" s="6">
        <f t="shared" si="120"/>
        <v>26.220221204253789</v>
      </c>
      <c r="V426" s="6">
        <f t="shared" si="121"/>
        <v>131.10110602126895</v>
      </c>
      <c r="W426">
        <v>19</v>
      </c>
      <c r="X426" t="str">
        <f t="shared" si="122"/>
        <v>OK</v>
      </c>
      <c r="Y426" s="6">
        <f t="shared" si="123"/>
        <v>9</v>
      </c>
      <c r="Z426" s="6">
        <f t="shared" si="124"/>
        <v>9</v>
      </c>
    </row>
    <row r="427" spans="1:26" x14ac:dyDescent="0.3">
      <c r="A427" s="3" t="str">
        <f t="shared" si="108"/>
        <v>SKU426</v>
      </c>
      <c r="B427" s="3">
        <v>260</v>
      </c>
      <c r="C427" s="3">
        <f t="shared" si="110"/>
        <v>338</v>
      </c>
      <c r="D427" s="3">
        <v>55.21</v>
      </c>
      <c r="E427" s="3">
        <v>24</v>
      </c>
      <c r="F427" s="3" t="str" cm="1">
        <f t="array" aca="1" ref="F427" ca="1">INDEX({"Electronics","Clothing","Food","Furniture"}, RANDBETWEEN(1,4))</f>
        <v>Furniture</v>
      </c>
      <c r="G427" s="3">
        <v>50</v>
      </c>
      <c r="H427" s="3">
        <v>2</v>
      </c>
      <c r="I427" s="3">
        <f t="shared" si="109"/>
        <v>14354.6</v>
      </c>
      <c r="J427" s="3">
        <f t="shared" si="125"/>
        <v>28567003.79000001</v>
      </c>
      <c r="K427" s="4">
        <f t="shared" si="111"/>
        <v>0.98020174591527154</v>
      </c>
      <c r="M427" s="6">
        <f t="shared" si="112"/>
        <v>114.0175425099138</v>
      </c>
      <c r="N427" s="6">
        <f t="shared" si="113"/>
        <v>130</v>
      </c>
      <c r="O427" s="6">
        <f t="shared" si="114"/>
        <v>0.71232876712328763</v>
      </c>
      <c r="P427" s="6">
        <f t="shared" si="115"/>
        <v>17.095890410958901</v>
      </c>
      <c r="Q427" t="str">
        <f t="shared" si="116"/>
        <v>C</v>
      </c>
      <c r="R427" s="6">
        <f t="shared" si="117"/>
        <v>57.008771254956898</v>
      </c>
      <c r="S427" s="6">
        <f t="shared" si="118"/>
        <v>4.5607017003965522</v>
      </c>
      <c r="T427" s="6">
        <f t="shared" si="119"/>
        <v>114.01754250991381</v>
      </c>
      <c r="U427" s="6">
        <f t="shared" si="120"/>
        <v>28.504385627478449</v>
      </c>
      <c r="V427" s="6">
        <f t="shared" si="121"/>
        <v>142.52192813739225</v>
      </c>
      <c r="W427">
        <v>24</v>
      </c>
      <c r="X427" t="str">
        <f t="shared" si="122"/>
        <v>OK</v>
      </c>
      <c r="Y427" s="6">
        <f t="shared" si="123"/>
        <v>29</v>
      </c>
      <c r="Z427" s="6">
        <f t="shared" si="124"/>
        <v>29</v>
      </c>
    </row>
    <row r="428" spans="1:26" x14ac:dyDescent="0.3">
      <c r="A428" s="3" t="str">
        <f t="shared" si="108"/>
        <v>SKU427</v>
      </c>
      <c r="B428" s="3">
        <v>249</v>
      </c>
      <c r="C428" s="3">
        <f t="shared" si="110"/>
        <v>323.7</v>
      </c>
      <c r="D428" s="3">
        <v>56.77</v>
      </c>
      <c r="E428" s="3">
        <v>10</v>
      </c>
      <c r="F428" s="3" t="str" cm="1">
        <f t="array" aca="1" ref="F428" ca="1">INDEX({"Electronics","Clothing","Food","Furniture"}, RANDBETWEEN(1,4))</f>
        <v>Food</v>
      </c>
      <c r="G428" s="3">
        <v>50</v>
      </c>
      <c r="H428" s="3">
        <v>2</v>
      </c>
      <c r="I428" s="3">
        <f t="shared" si="109"/>
        <v>14135.730000000001</v>
      </c>
      <c r="J428" s="3">
        <f t="shared" si="125"/>
        <v>28581139.520000011</v>
      </c>
      <c r="K428" s="4">
        <f t="shared" si="111"/>
        <v>0.98068677638355739</v>
      </c>
      <c r="M428" s="6">
        <f t="shared" si="112"/>
        <v>111.57956802210698</v>
      </c>
      <c r="N428" s="6">
        <f t="shared" si="113"/>
        <v>127.22028140198401</v>
      </c>
      <c r="O428" s="6">
        <f t="shared" si="114"/>
        <v>0.68219178082191778</v>
      </c>
      <c r="P428" s="6">
        <f t="shared" si="115"/>
        <v>6.8219178082191778</v>
      </c>
      <c r="Q428" t="str">
        <f t="shared" si="116"/>
        <v>C</v>
      </c>
      <c r="R428" s="6">
        <f t="shared" si="117"/>
        <v>55.789784011053491</v>
      </c>
      <c r="S428" s="6">
        <f t="shared" si="118"/>
        <v>4.46318272088428</v>
      </c>
      <c r="T428" s="6">
        <f t="shared" si="119"/>
        <v>111.579568022107</v>
      </c>
      <c r="U428" s="6">
        <f t="shared" si="120"/>
        <v>27.894892005526746</v>
      </c>
      <c r="V428" s="6">
        <f t="shared" si="121"/>
        <v>139.47446002763374</v>
      </c>
      <c r="W428">
        <v>2</v>
      </c>
      <c r="X428" t="str">
        <f t="shared" si="122"/>
        <v>ALERT</v>
      </c>
      <c r="Y428" s="6">
        <f t="shared" si="123"/>
        <v>15</v>
      </c>
      <c r="Z428" s="6">
        <f t="shared" si="124"/>
        <v>15</v>
      </c>
    </row>
    <row r="429" spans="1:26" x14ac:dyDescent="0.3">
      <c r="A429" s="3" t="str">
        <f t="shared" si="108"/>
        <v>SKU428</v>
      </c>
      <c r="B429" s="3">
        <v>241</v>
      </c>
      <c r="C429" s="3">
        <f t="shared" si="110"/>
        <v>313.3</v>
      </c>
      <c r="D429" s="3">
        <v>57.25</v>
      </c>
      <c r="E429" s="3">
        <v>15</v>
      </c>
      <c r="F429" s="3" t="str" cm="1">
        <f t="array" aca="1" ref="F429" ca="1">INDEX({"Electronics","Clothing","Food","Furniture"}, RANDBETWEEN(1,4))</f>
        <v>Clothing</v>
      </c>
      <c r="G429" s="3">
        <v>50</v>
      </c>
      <c r="H429" s="3">
        <v>2</v>
      </c>
      <c r="I429" s="3">
        <f t="shared" si="109"/>
        <v>13797.25</v>
      </c>
      <c r="J429" s="3">
        <f t="shared" si="125"/>
        <v>28594936.770000011</v>
      </c>
      <c r="K429" s="4">
        <f t="shared" si="111"/>
        <v>0.98116019279916222</v>
      </c>
      <c r="M429" s="6">
        <f t="shared" si="112"/>
        <v>109.77249200050075</v>
      </c>
      <c r="N429" s="6">
        <f t="shared" si="113"/>
        <v>125.15989773086265</v>
      </c>
      <c r="O429" s="6">
        <f t="shared" si="114"/>
        <v>0.66027397260273968</v>
      </c>
      <c r="P429" s="6">
        <f t="shared" si="115"/>
        <v>9.9041095890410951</v>
      </c>
      <c r="Q429" t="str">
        <f t="shared" si="116"/>
        <v>C</v>
      </c>
      <c r="R429" s="6">
        <f t="shared" si="117"/>
        <v>54.886246000250374</v>
      </c>
      <c r="S429" s="6">
        <f t="shared" si="118"/>
        <v>4.3908996800200297</v>
      </c>
      <c r="T429" s="6">
        <f t="shared" si="119"/>
        <v>109.77249200050075</v>
      </c>
      <c r="U429" s="6">
        <f t="shared" si="120"/>
        <v>27.443123000125187</v>
      </c>
      <c r="V429" s="6">
        <f t="shared" si="121"/>
        <v>137.21561500062595</v>
      </c>
      <c r="W429">
        <v>8</v>
      </c>
      <c r="X429" t="str">
        <f t="shared" si="122"/>
        <v>ALERT</v>
      </c>
      <c r="Y429" s="6">
        <f t="shared" si="123"/>
        <v>20</v>
      </c>
      <c r="Z429" s="6">
        <f t="shared" si="124"/>
        <v>20</v>
      </c>
    </row>
    <row r="430" spans="1:26" x14ac:dyDescent="0.3">
      <c r="A430" s="3" t="str">
        <f t="shared" si="108"/>
        <v>SKU429</v>
      </c>
      <c r="B430" s="3">
        <v>1576</v>
      </c>
      <c r="C430" s="3">
        <f t="shared" si="110"/>
        <v>2048.8000000000002</v>
      </c>
      <c r="D430" s="3">
        <v>8.6199999999999992</v>
      </c>
      <c r="E430" s="3">
        <v>30</v>
      </c>
      <c r="F430" s="3" t="str" cm="1">
        <f t="array" aca="1" ref="F430" ca="1">INDEX({"Electronics","Clothing","Food","Furniture"}, RANDBETWEEN(1,4))</f>
        <v>Clothing</v>
      </c>
      <c r="G430" s="3">
        <v>50</v>
      </c>
      <c r="H430" s="3">
        <v>2</v>
      </c>
      <c r="I430" s="3">
        <f t="shared" si="109"/>
        <v>13585.119999999999</v>
      </c>
      <c r="J430" s="3">
        <f t="shared" si="125"/>
        <v>28608521.890000012</v>
      </c>
      <c r="K430" s="4">
        <f t="shared" si="111"/>
        <v>0.98162633053066384</v>
      </c>
      <c r="M430" s="6">
        <f t="shared" si="112"/>
        <v>280.713376952364</v>
      </c>
      <c r="N430" s="6">
        <f t="shared" si="113"/>
        <v>320.06249389767618</v>
      </c>
      <c r="O430" s="6">
        <f t="shared" si="114"/>
        <v>4.3178082191780822</v>
      </c>
      <c r="P430" s="6">
        <f t="shared" si="115"/>
        <v>129.53424657534248</v>
      </c>
      <c r="Q430" t="str">
        <f t="shared" si="116"/>
        <v>C</v>
      </c>
      <c r="R430" s="6">
        <f t="shared" si="117"/>
        <v>140.356688476182</v>
      </c>
      <c r="S430" s="6">
        <f t="shared" si="118"/>
        <v>11.228535078094559</v>
      </c>
      <c r="T430" s="6">
        <f t="shared" si="119"/>
        <v>280.713376952364</v>
      </c>
      <c r="U430" s="6">
        <f t="shared" si="120"/>
        <v>70.178344238091</v>
      </c>
      <c r="V430" s="6">
        <f t="shared" si="121"/>
        <v>350.89172119045497</v>
      </c>
      <c r="W430">
        <v>126</v>
      </c>
      <c r="X430" t="str">
        <f t="shared" si="122"/>
        <v>ALERT</v>
      </c>
      <c r="Y430" s="6">
        <f t="shared" si="123"/>
        <v>35</v>
      </c>
      <c r="Z430" s="6">
        <f t="shared" si="124"/>
        <v>140</v>
      </c>
    </row>
    <row r="431" spans="1:26" x14ac:dyDescent="0.3">
      <c r="A431" s="3" t="str">
        <f t="shared" si="108"/>
        <v>SKU430</v>
      </c>
      <c r="B431" s="3">
        <v>173</v>
      </c>
      <c r="C431" s="3">
        <f t="shared" si="110"/>
        <v>224.9</v>
      </c>
      <c r="D431" s="3">
        <v>78.31</v>
      </c>
      <c r="E431" s="3">
        <v>17</v>
      </c>
      <c r="F431" s="3" t="str" cm="1">
        <f t="array" aca="1" ref="F431" ca="1">INDEX({"Electronics","Clothing","Food","Furniture"}, RANDBETWEEN(1,4))</f>
        <v>Clothing</v>
      </c>
      <c r="G431" s="3">
        <v>50</v>
      </c>
      <c r="H431" s="3">
        <v>2</v>
      </c>
      <c r="I431" s="3">
        <f t="shared" si="109"/>
        <v>13547.630000000001</v>
      </c>
      <c r="J431" s="3">
        <f t="shared" si="125"/>
        <v>28622069.520000011</v>
      </c>
      <c r="K431" s="4">
        <f t="shared" si="111"/>
        <v>0.98209118189122768</v>
      </c>
      <c r="M431" s="6">
        <f t="shared" si="112"/>
        <v>93.005376188691372</v>
      </c>
      <c r="N431" s="6">
        <f t="shared" si="113"/>
        <v>106.04244433244644</v>
      </c>
      <c r="O431" s="6">
        <f t="shared" si="114"/>
        <v>0.47397260273972602</v>
      </c>
      <c r="P431" s="6">
        <f t="shared" si="115"/>
        <v>8.0575342465753419</v>
      </c>
      <c r="Q431" t="str">
        <f t="shared" si="116"/>
        <v>C</v>
      </c>
      <c r="R431" s="6">
        <f t="shared" si="117"/>
        <v>46.502688094345686</v>
      </c>
      <c r="S431" s="6">
        <f t="shared" si="118"/>
        <v>3.7202150475476548</v>
      </c>
      <c r="T431" s="6">
        <f t="shared" si="119"/>
        <v>93.005376188691372</v>
      </c>
      <c r="U431" s="6">
        <f t="shared" si="120"/>
        <v>23.251344047172843</v>
      </c>
      <c r="V431" s="6">
        <f t="shared" si="121"/>
        <v>116.25672023586421</v>
      </c>
      <c r="W431">
        <v>1</v>
      </c>
      <c r="X431" t="str">
        <f t="shared" si="122"/>
        <v>ALERT</v>
      </c>
      <c r="Y431" s="6">
        <f t="shared" si="123"/>
        <v>22</v>
      </c>
      <c r="Z431" s="6">
        <f t="shared" si="124"/>
        <v>0</v>
      </c>
    </row>
    <row r="432" spans="1:26" x14ac:dyDescent="0.3">
      <c r="A432" s="3" t="str">
        <f t="shared" si="108"/>
        <v>SKU431</v>
      </c>
      <c r="B432" s="3">
        <v>745</v>
      </c>
      <c r="C432" s="3">
        <f t="shared" si="110"/>
        <v>968.5</v>
      </c>
      <c r="D432" s="3">
        <v>17.37</v>
      </c>
      <c r="E432" s="3">
        <v>10</v>
      </c>
      <c r="F432" s="3" t="str" cm="1">
        <f t="array" aca="1" ref="F432" ca="1">INDEX({"Electronics","Clothing","Food","Furniture"}, RANDBETWEEN(1,4))</f>
        <v>Clothing</v>
      </c>
      <c r="G432" s="3">
        <v>50</v>
      </c>
      <c r="H432" s="3">
        <v>2</v>
      </c>
      <c r="I432" s="3">
        <f t="shared" si="109"/>
        <v>12940.650000000001</v>
      </c>
      <c r="J432" s="3">
        <f t="shared" si="125"/>
        <v>28635010.170000009</v>
      </c>
      <c r="K432" s="4">
        <f t="shared" si="111"/>
        <v>0.98253520632642999</v>
      </c>
      <c r="M432" s="6">
        <f t="shared" si="112"/>
        <v>193.00259065618783</v>
      </c>
      <c r="N432" s="6">
        <f t="shared" si="113"/>
        <v>220.05681084665386</v>
      </c>
      <c r="O432" s="6">
        <f t="shared" si="114"/>
        <v>2.0410958904109591</v>
      </c>
      <c r="P432" s="6">
        <f t="shared" si="115"/>
        <v>20.410958904109592</v>
      </c>
      <c r="Q432" t="str">
        <f t="shared" si="116"/>
        <v>C</v>
      </c>
      <c r="R432" s="6">
        <f t="shared" si="117"/>
        <v>96.501295328093917</v>
      </c>
      <c r="S432" s="6">
        <f t="shared" si="118"/>
        <v>7.7201036262475125</v>
      </c>
      <c r="T432" s="6">
        <f t="shared" si="119"/>
        <v>193.00259065618781</v>
      </c>
      <c r="U432" s="6">
        <f t="shared" si="120"/>
        <v>48.250647664046959</v>
      </c>
      <c r="V432" s="6">
        <f t="shared" si="121"/>
        <v>241.25323832023477</v>
      </c>
      <c r="W432">
        <v>18</v>
      </c>
      <c r="X432" t="str">
        <f t="shared" si="122"/>
        <v>ALERT</v>
      </c>
      <c r="Y432" s="6">
        <f t="shared" si="123"/>
        <v>15</v>
      </c>
      <c r="Z432" s="6">
        <f t="shared" si="124"/>
        <v>30</v>
      </c>
    </row>
    <row r="433" spans="1:26" x14ac:dyDescent="0.3">
      <c r="A433" s="3" t="str">
        <f t="shared" si="108"/>
        <v>SKU432</v>
      </c>
      <c r="B433" s="3">
        <v>350</v>
      </c>
      <c r="C433" s="3">
        <f t="shared" si="110"/>
        <v>455</v>
      </c>
      <c r="D433" s="3">
        <v>36.81</v>
      </c>
      <c r="E433" s="3">
        <v>19</v>
      </c>
      <c r="F433" s="3" t="str" cm="1">
        <f t="array" aca="1" ref="F433" ca="1">INDEX({"Electronics","Clothing","Food","Furniture"}, RANDBETWEEN(1,4))</f>
        <v>Electronics</v>
      </c>
      <c r="G433" s="3">
        <v>50</v>
      </c>
      <c r="H433" s="3">
        <v>2</v>
      </c>
      <c r="I433" s="3">
        <f t="shared" si="109"/>
        <v>12883.5</v>
      </c>
      <c r="J433" s="3">
        <f t="shared" si="125"/>
        <v>28647893.670000009</v>
      </c>
      <c r="K433" s="4">
        <f t="shared" si="111"/>
        <v>0.98297726980940259</v>
      </c>
      <c r="M433" s="6">
        <f t="shared" si="112"/>
        <v>132.28756555322954</v>
      </c>
      <c r="N433" s="6">
        <f t="shared" si="113"/>
        <v>150.83103128998357</v>
      </c>
      <c r="O433" s="6">
        <f t="shared" si="114"/>
        <v>0.95890410958904104</v>
      </c>
      <c r="P433" s="6">
        <f t="shared" si="115"/>
        <v>18.219178082191778</v>
      </c>
      <c r="Q433" t="str">
        <f t="shared" si="116"/>
        <v>C</v>
      </c>
      <c r="R433" s="6">
        <f t="shared" si="117"/>
        <v>66.143782776614771</v>
      </c>
      <c r="S433" s="6">
        <f t="shared" si="118"/>
        <v>5.2915026221291805</v>
      </c>
      <c r="T433" s="6">
        <f t="shared" si="119"/>
        <v>132.28756555322951</v>
      </c>
      <c r="U433" s="6">
        <f t="shared" si="120"/>
        <v>33.071891388307385</v>
      </c>
      <c r="V433" s="6">
        <f t="shared" si="121"/>
        <v>165.35945694153691</v>
      </c>
      <c r="W433">
        <v>41</v>
      </c>
      <c r="X433" t="str">
        <f t="shared" si="122"/>
        <v>OK</v>
      </c>
      <c r="Y433" s="6">
        <f t="shared" si="123"/>
        <v>24</v>
      </c>
      <c r="Z433" s="6">
        <f t="shared" si="124"/>
        <v>24</v>
      </c>
    </row>
    <row r="434" spans="1:26" x14ac:dyDescent="0.3">
      <c r="A434" s="3" t="str">
        <f t="shared" si="108"/>
        <v>SKU433</v>
      </c>
      <c r="B434" s="3">
        <v>237</v>
      </c>
      <c r="C434" s="3">
        <f t="shared" si="110"/>
        <v>308.10000000000002</v>
      </c>
      <c r="D434" s="3">
        <v>52.44</v>
      </c>
      <c r="E434" s="3">
        <v>3</v>
      </c>
      <c r="F434" s="3" t="str" cm="1">
        <f t="array" aca="1" ref="F434" ca="1">INDEX({"Electronics","Clothing","Food","Furniture"}, RANDBETWEEN(1,4))</f>
        <v>Clothing</v>
      </c>
      <c r="G434" s="3">
        <v>50</v>
      </c>
      <c r="H434" s="3">
        <v>2</v>
      </c>
      <c r="I434" s="3">
        <f t="shared" si="109"/>
        <v>12428.279999999999</v>
      </c>
      <c r="J434" s="3">
        <f t="shared" si="125"/>
        <v>28660321.95000001</v>
      </c>
      <c r="K434" s="4">
        <f t="shared" si="111"/>
        <v>0.9834037136130398</v>
      </c>
      <c r="M434" s="6">
        <f t="shared" si="112"/>
        <v>108.8577052853862</v>
      </c>
      <c r="N434" s="6">
        <f t="shared" si="113"/>
        <v>124.11688039908191</v>
      </c>
      <c r="O434" s="6">
        <f t="shared" si="114"/>
        <v>0.64931506849315068</v>
      </c>
      <c r="P434" s="6">
        <f t="shared" si="115"/>
        <v>1.9479452054794519</v>
      </c>
      <c r="Q434" t="str">
        <f t="shared" si="116"/>
        <v>C</v>
      </c>
      <c r="R434" s="6">
        <f t="shared" si="117"/>
        <v>54.428852642693101</v>
      </c>
      <c r="S434" s="6">
        <f t="shared" si="118"/>
        <v>4.3543082114154483</v>
      </c>
      <c r="T434" s="6">
        <f t="shared" si="119"/>
        <v>108.8577052853862</v>
      </c>
      <c r="U434" s="6">
        <f t="shared" si="120"/>
        <v>27.214426321346551</v>
      </c>
      <c r="V434" s="6">
        <f t="shared" si="121"/>
        <v>136.07213160673274</v>
      </c>
      <c r="W434">
        <v>31</v>
      </c>
      <c r="X434" t="str">
        <f t="shared" si="122"/>
        <v>OK</v>
      </c>
      <c r="Y434" s="6">
        <f t="shared" si="123"/>
        <v>8</v>
      </c>
      <c r="Z434" s="6">
        <f t="shared" si="124"/>
        <v>8</v>
      </c>
    </row>
    <row r="435" spans="1:26" x14ac:dyDescent="0.3">
      <c r="A435" s="3" t="str">
        <f t="shared" si="108"/>
        <v>SKU434</v>
      </c>
      <c r="B435" s="3">
        <v>145</v>
      </c>
      <c r="C435" s="3">
        <f t="shared" si="110"/>
        <v>188.5</v>
      </c>
      <c r="D435" s="3">
        <v>83.36</v>
      </c>
      <c r="E435" s="3">
        <v>13</v>
      </c>
      <c r="F435" s="3" t="str" cm="1">
        <f t="array" aca="1" ref="F435" ca="1">INDEX({"Electronics","Clothing","Food","Furniture"}, RANDBETWEEN(1,4))</f>
        <v>Electronics</v>
      </c>
      <c r="G435" s="3">
        <v>50</v>
      </c>
      <c r="H435" s="3">
        <v>2</v>
      </c>
      <c r="I435" s="3">
        <f t="shared" si="109"/>
        <v>12087.2</v>
      </c>
      <c r="J435" s="3">
        <f t="shared" si="125"/>
        <v>28672409.15000001</v>
      </c>
      <c r="K435" s="4">
        <f t="shared" si="111"/>
        <v>0.9838184541518209</v>
      </c>
      <c r="M435" s="6">
        <f t="shared" si="112"/>
        <v>85.14693182963201</v>
      </c>
      <c r="N435" s="6">
        <f t="shared" si="113"/>
        <v>97.082439194738001</v>
      </c>
      <c r="O435" s="6">
        <f t="shared" si="114"/>
        <v>0.39726027397260272</v>
      </c>
      <c r="P435" s="6">
        <f t="shared" si="115"/>
        <v>5.1643835616438354</v>
      </c>
      <c r="Q435" t="str">
        <f t="shared" si="116"/>
        <v>C</v>
      </c>
      <c r="R435" s="6">
        <f t="shared" si="117"/>
        <v>42.573465914816005</v>
      </c>
      <c r="S435" s="6">
        <f t="shared" si="118"/>
        <v>3.40587727318528</v>
      </c>
      <c r="T435" s="6">
        <f t="shared" si="119"/>
        <v>85.146931829631995</v>
      </c>
      <c r="U435" s="6">
        <f t="shared" si="120"/>
        <v>21.286732957408002</v>
      </c>
      <c r="V435" s="6">
        <f t="shared" si="121"/>
        <v>106.43366478704</v>
      </c>
      <c r="W435">
        <v>28</v>
      </c>
      <c r="X435" t="str">
        <f t="shared" si="122"/>
        <v>OK</v>
      </c>
      <c r="Y435" s="6">
        <f t="shared" si="123"/>
        <v>18</v>
      </c>
      <c r="Z435" s="6">
        <f t="shared" si="124"/>
        <v>0</v>
      </c>
    </row>
    <row r="436" spans="1:26" x14ac:dyDescent="0.3">
      <c r="A436" s="3" t="str">
        <f t="shared" si="108"/>
        <v>SKU435</v>
      </c>
      <c r="B436" s="3">
        <v>1914</v>
      </c>
      <c r="C436" s="3">
        <f t="shared" si="110"/>
        <v>2488.2000000000003</v>
      </c>
      <c r="D436" s="3">
        <v>6.29</v>
      </c>
      <c r="E436" s="3">
        <v>3</v>
      </c>
      <c r="F436" s="3" t="str" cm="1">
        <f t="array" aca="1" ref="F436" ca="1">INDEX({"Electronics","Clothing","Food","Furniture"}, RANDBETWEEN(1,4))</f>
        <v>Furniture</v>
      </c>
      <c r="G436" s="3">
        <v>50</v>
      </c>
      <c r="H436" s="3">
        <v>2</v>
      </c>
      <c r="I436" s="3">
        <f t="shared" si="109"/>
        <v>12039.06</v>
      </c>
      <c r="J436" s="3">
        <f t="shared" si="125"/>
        <v>28684448.210000008</v>
      </c>
      <c r="K436" s="4">
        <f t="shared" si="111"/>
        <v>0.98423154289287074</v>
      </c>
      <c r="M436" s="6">
        <f t="shared" si="112"/>
        <v>309.3541659651604</v>
      </c>
      <c r="N436" s="6">
        <f t="shared" si="113"/>
        <v>352.71801768551603</v>
      </c>
      <c r="O436" s="6">
        <f t="shared" si="114"/>
        <v>5.2438356164383562</v>
      </c>
      <c r="P436" s="6">
        <f t="shared" si="115"/>
        <v>15.731506849315068</v>
      </c>
      <c r="Q436" t="str">
        <f t="shared" si="116"/>
        <v>C</v>
      </c>
      <c r="R436" s="6">
        <f t="shared" si="117"/>
        <v>154.6770829825802</v>
      </c>
      <c r="S436" s="6">
        <f t="shared" si="118"/>
        <v>12.374166638606415</v>
      </c>
      <c r="T436" s="6">
        <f t="shared" si="119"/>
        <v>309.35416596516035</v>
      </c>
      <c r="U436" s="6">
        <f t="shared" si="120"/>
        <v>77.338541491290101</v>
      </c>
      <c r="V436" s="6">
        <f t="shared" si="121"/>
        <v>386.69270745645042</v>
      </c>
      <c r="W436">
        <v>12</v>
      </c>
      <c r="X436" t="str">
        <f t="shared" si="122"/>
        <v>ALERT</v>
      </c>
      <c r="Y436" s="6">
        <f t="shared" si="123"/>
        <v>8</v>
      </c>
      <c r="Z436" s="6">
        <f t="shared" si="124"/>
        <v>40</v>
      </c>
    </row>
    <row r="437" spans="1:26" x14ac:dyDescent="0.3">
      <c r="A437" s="3" t="str">
        <f t="shared" si="108"/>
        <v>SKU436</v>
      </c>
      <c r="B437" s="3">
        <v>629</v>
      </c>
      <c r="C437" s="3">
        <f t="shared" si="110"/>
        <v>817.7</v>
      </c>
      <c r="D437" s="3">
        <v>18.829999999999998</v>
      </c>
      <c r="E437" s="3">
        <v>26</v>
      </c>
      <c r="F437" s="3" t="str" cm="1">
        <f t="array" aca="1" ref="F437" ca="1">INDEX({"Electronics","Clothing","Food","Furniture"}, RANDBETWEEN(1,4))</f>
        <v>Furniture</v>
      </c>
      <c r="G437" s="3">
        <v>50</v>
      </c>
      <c r="H437" s="3">
        <v>2</v>
      </c>
      <c r="I437" s="3">
        <f t="shared" si="109"/>
        <v>11844.07</v>
      </c>
      <c r="J437" s="3">
        <f t="shared" si="125"/>
        <v>28696292.280000009</v>
      </c>
      <c r="K437" s="4">
        <f t="shared" si="111"/>
        <v>0.98463794106392455</v>
      </c>
      <c r="M437" s="6">
        <f t="shared" si="112"/>
        <v>177.34147850968199</v>
      </c>
      <c r="N437" s="6">
        <f t="shared" si="113"/>
        <v>202.20039564748632</v>
      </c>
      <c r="O437" s="6">
        <f t="shared" si="114"/>
        <v>1.7232876712328766</v>
      </c>
      <c r="P437" s="6">
        <f t="shared" si="115"/>
        <v>44.80547945205479</v>
      </c>
      <c r="Q437" t="str">
        <f t="shared" si="116"/>
        <v>C</v>
      </c>
      <c r="R437" s="6">
        <f t="shared" si="117"/>
        <v>88.670739254840996</v>
      </c>
      <c r="S437" s="6">
        <f t="shared" si="118"/>
        <v>7.0936591403872802</v>
      </c>
      <c r="T437" s="6">
        <f t="shared" si="119"/>
        <v>177.34147850968199</v>
      </c>
      <c r="U437" s="6">
        <f t="shared" si="120"/>
        <v>44.335369627420498</v>
      </c>
      <c r="V437" s="6">
        <f t="shared" si="121"/>
        <v>221.6768481371025</v>
      </c>
      <c r="W437">
        <v>57</v>
      </c>
      <c r="X437" t="str">
        <f t="shared" si="122"/>
        <v>OK</v>
      </c>
      <c r="Y437" s="6">
        <f t="shared" si="123"/>
        <v>31</v>
      </c>
      <c r="Z437" s="6">
        <f t="shared" si="124"/>
        <v>62</v>
      </c>
    </row>
    <row r="438" spans="1:26" x14ac:dyDescent="0.3">
      <c r="A438" s="3" t="str">
        <f t="shared" si="108"/>
        <v>SKU437</v>
      </c>
      <c r="B438" s="3">
        <v>1917</v>
      </c>
      <c r="C438" s="3">
        <f t="shared" si="110"/>
        <v>2492.1</v>
      </c>
      <c r="D438" s="3">
        <v>6.12</v>
      </c>
      <c r="E438" s="3">
        <v>22</v>
      </c>
      <c r="F438" s="3" t="str" cm="1">
        <f t="array" aca="1" ref="F438" ca="1">INDEX({"Electronics","Clothing","Food","Furniture"}, RANDBETWEEN(1,4))</f>
        <v>Furniture</v>
      </c>
      <c r="G438" s="3">
        <v>50</v>
      </c>
      <c r="H438" s="3">
        <v>2</v>
      </c>
      <c r="I438" s="3">
        <f t="shared" si="109"/>
        <v>11732.04</v>
      </c>
      <c r="J438" s="3">
        <f t="shared" si="125"/>
        <v>28708024.320000008</v>
      </c>
      <c r="K438" s="4">
        <f t="shared" si="111"/>
        <v>0.98504049521961001</v>
      </c>
      <c r="M438" s="6">
        <f t="shared" si="112"/>
        <v>309.59651160825439</v>
      </c>
      <c r="N438" s="6">
        <f t="shared" si="113"/>
        <v>352.99433423215169</v>
      </c>
      <c r="O438" s="6">
        <f t="shared" si="114"/>
        <v>5.2520547945205482</v>
      </c>
      <c r="P438" s="6">
        <f t="shared" si="115"/>
        <v>115.54520547945206</v>
      </c>
      <c r="Q438" t="str">
        <f t="shared" si="116"/>
        <v>C</v>
      </c>
      <c r="R438" s="6">
        <f t="shared" si="117"/>
        <v>154.79825580412719</v>
      </c>
      <c r="S438" s="6">
        <f t="shared" si="118"/>
        <v>12.383860464330176</v>
      </c>
      <c r="T438" s="6">
        <f t="shared" si="119"/>
        <v>309.59651160825439</v>
      </c>
      <c r="U438" s="6">
        <f t="shared" si="120"/>
        <v>77.399127902063597</v>
      </c>
      <c r="V438" s="6">
        <f t="shared" si="121"/>
        <v>386.99563951031797</v>
      </c>
      <c r="W438">
        <v>158</v>
      </c>
      <c r="X438" t="str">
        <f t="shared" si="122"/>
        <v>OK</v>
      </c>
      <c r="Y438" s="6">
        <f t="shared" si="123"/>
        <v>27</v>
      </c>
      <c r="Z438" s="6">
        <f t="shared" si="124"/>
        <v>135</v>
      </c>
    </row>
    <row r="439" spans="1:26" x14ac:dyDescent="0.3">
      <c r="A439" s="3" t="str">
        <f t="shared" si="108"/>
        <v>SKU438</v>
      </c>
      <c r="B439" s="3">
        <v>1034</v>
      </c>
      <c r="C439" s="3">
        <f t="shared" si="110"/>
        <v>1344.2</v>
      </c>
      <c r="D439" s="3">
        <v>11.33</v>
      </c>
      <c r="E439" s="3">
        <v>18</v>
      </c>
      <c r="F439" s="3" t="str" cm="1">
        <f t="array" aca="1" ref="F439" ca="1">INDEX({"Electronics","Clothing","Food","Furniture"}, RANDBETWEEN(1,4))</f>
        <v>Clothing</v>
      </c>
      <c r="G439" s="3">
        <v>50</v>
      </c>
      <c r="H439" s="3">
        <v>2</v>
      </c>
      <c r="I439" s="3">
        <f t="shared" si="109"/>
        <v>11715.22</v>
      </c>
      <c r="J439" s="3">
        <f t="shared" si="125"/>
        <v>28719739.540000007</v>
      </c>
      <c r="K439" s="4">
        <f t="shared" si="111"/>
        <v>0.98544247224114834</v>
      </c>
      <c r="M439" s="6">
        <f t="shared" si="112"/>
        <v>227.37634001804145</v>
      </c>
      <c r="N439" s="6">
        <f t="shared" si="113"/>
        <v>259.24891513755654</v>
      </c>
      <c r="O439" s="6">
        <f t="shared" si="114"/>
        <v>2.8328767123287673</v>
      </c>
      <c r="P439" s="6">
        <f t="shared" si="115"/>
        <v>50.991780821917814</v>
      </c>
      <c r="Q439" t="str">
        <f t="shared" si="116"/>
        <v>C</v>
      </c>
      <c r="R439" s="6">
        <f t="shared" si="117"/>
        <v>113.68817000902072</v>
      </c>
      <c r="S439" s="6">
        <f t="shared" si="118"/>
        <v>9.0950536007216591</v>
      </c>
      <c r="T439" s="6">
        <f t="shared" si="119"/>
        <v>227.37634001804147</v>
      </c>
      <c r="U439" s="6">
        <f t="shared" si="120"/>
        <v>56.844085004510362</v>
      </c>
      <c r="V439" s="6">
        <f t="shared" si="121"/>
        <v>284.22042502255181</v>
      </c>
      <c r="W439">
        <v>22</v>
      </c>
      <c r="X439" t="str">
        <f t="shared" si="122"/>
        <v>ALERT</v>
      </c>
      <c r="Y439" s="6">
        <f t="shared" si="123"/>
        <v>23</v>
      </c>
      <c r="Z439" s="6">
        <f t="shared" si="124"/>
        <v>69</v>
      </c>
    </row>
    <row r="440" spans="1:26" x14ac:dyDescent="0.3">
      <c r="A440" s="3" t="str">
        <f t="shared" si="108"/>
        <v>SKU439</v>
      </c>
      <c r="B440" s="3">
        <v>177</v>
      </c>
      <c r="C440" s="3">
        <f t="shared" si="110"/>
        <v>230.1</v>
      </c>
      <c r="D440" s="3">
        <v>65.28</v>
      </c>
      <c r="E440" s="3">
        <v>9</v>
      </c>
      <c r="F440" s="3" t="str" cm="1">
        <f t="array" aca="1" ref="F440" ca="1">INDEX({"Electronics","Clothing","Food","Furniture"}, RANDBETWEEN(1,4))</f>
        <v>Clothing</v>
      </c>
      <c r="G440" s="3">
        <v>50</v>
      </c>
      <c r="H440" s="3">
        <v>2</v>
      </c>
      <c r="I440" s="3">
        <f t="shared" si="109"/>
        <v>11554.56</v>
      </c>
      <c r="J440" s="3">
        <f t="shared" si="125"/>
        <v>28731294.100000005</v>
      </c>
      <c r="K440" s="4">
        <f t="shared" si="111"/>
        <v>0.98583893663652356</v>
      </c>
      <c r="M440" s="6">
        <f t="shared" si="112"/>
        <v>94.0744386111339</v>
      </c>
      <c r="N440" s="6">
        <f t="shared" si="113"/>
        <v>107.26136303441235</v>
      </c>
      <c r="O440" s="6">
        <f t="shared" si="114"/>
        <v>0.48493150684931507</v>
      </c>
      <c r="P440" s="6">
        <f t="shared" si="115"/>
        <v>4.3643835616438356</v>
      </c>
      <c r="Q440" t="str">
        <f t="shared" si="116"/>
        <v>C</v>
      </c>
      <c r="R440" s="6">
        <f t="shared" si="117"/>
        <v>47.03721930556695</v>
      </c>
      <c r="S440" s="6">
        <f t="shared" si="118"/>
        <v>3.7629775444453557</v>
      </c>
      <c r="T440" s="6">
        <f t="shared" si="119"/>
        <v>94.0744386111339</v>
      </c>
      <c r="U440" s="6">
        <f t="shared" si="120"/>
        <v>23.518609652783475</v>
      </c>
      <c r="V440" s="6">
        <f t="shared" si="121"/>
        <v>117.59304826391738</v>
      </c>
      <c r="W440">
        <v>26</v>
      </c>
      <c r="X440" t="str">
        <f t="shared" si="122"/>
        <v>OK</v>
      </c>
      <c r="Y440" s="6">
        <f t="shared" si="123"/>
        <v>14</v>
      </c>
      <c r="Z440" s="6">
        <f t="shared" si="124"/>
        <v>0</v>
      </c>
    </row>
    <row r="441" spans="1:26" x14ac:dyDescent="0.3">
      <c r="A441" s="3" t="str">
        <f t="shared" si="108"/>
        <v>SKU440</v>
      </c>
      <c r="B441" s="3">
        <v>412</v>
      </c>
      <c r="C441" s="3">
        <f t="shared" si="110"/>
        <v>535.6</v>
      </c>
      <c r="D441" s="3">
        <v>27.62</v>
      </c>
      <c r="E441" s="3">
        <v>3</v>
      </c>
      <c r="F441" s="3" t="str" cm="1">
        <f t="array" aca="1" ref="F441" ca="1">INDEX({"Electronics","Clothing","Food","Furniture"}, RANDBETWEEN(1,4))</f>
        <v>Electronics</v>
      </c>
      <c r="G441" s="3">
        <v>50</v>
      </c>
      <c r="H441" s="3">
        <v>2</v>
      </c>
      <c r="I441" s="3">
        <f t="shared" si="109"/>
        <v>11379.44</v>
      </c>
      <c r="J441" s="3">
        <f t="shared" si="125"/>
        <v>28742673.540000007</v>
      </c>
      <c r="K441" s="4">
        <f t="shared" si="111"/>
        <v>0.98622939224879336</v>
      </c>
      <c r="M441" s="6">
        <f t="shared" si="112"/>
        <v>143.52700094407325</v>
      </c>
      <c r="N441" s="6">
        <f t="shared" si="113"/>
        <v>163.64595931461309</v>
      </c>
      <c r="O441" s="6">
        <f t="shared" si="114"/>
        <v>1.1287671232876713</v>
      </c>
      <c r="P441" s="6">
        <f t="shared" si="115"/>
        <v>3.3863013698630136</v>
      </c>
      <c r="Q441" t="str">
        <f t="shared" si="116"/>
        <v>C</v>
      </c>
      <c r="R441" s="6">
        <f t="shared" si="117"/>
        <v>71.763500472036625</v>
      </c>
      <c r="S441" s="6">
        <f t="shared" si="118"/>
        <v>5.741080037762929</v>
      </c>
      <c r="T441" s="6">
        <f t="shared" si="119"/>
        <v>143.52700094407322</v>
      </c>
      <c r="U441" s="6">
        <f t="shared" si="120"/>
        <v>35.881750236018313</v>
      </c>
      <c r="V441" s="6">
        <f t="shared" si="121"/>
        <v>179.40875118009154</v>
      </c>
      <c r="W441">
        <v>43</v>
      </c>
      <c r="X441" t="str">
        <f t="shared" si="122"/>
        <v>OK</v>
      </c>
      <c r="Y441" s="6">
        <f t="shared" si="123"/>
        <v>8</v>
      </c>
      <c r="Z441" s="6">
        <f t="shared" si="124"/>
        <v>8</v>
      </c>
    </row>
    <row r="442" spans="1:26" x14ac:dyDescent="0.3">
      <c r="A442" s="3" t="str">
        <f t="shared" si="108"/>
        <v>SKU441</v>
      </c>
      <c r="B442" s="3">
        <v>300</v>
      </c>
      <c r="C442" s="3">
        <f t="shared" si="110"/>
        <v>390</v>
      </c>
      <c r="D442" s="3">
        <v>37.01</v>
      </c>
      <c r="E442" s="3">
        <v>8</v>
      </c>
      <c r="F442" s="3" t="str" cm="1">
        <f t="array" aca="1" ref="F442" ca="1">INDEX({"Electronics","Clothing","Food","Furniture"}, RANDBETWEEN(1,4))</f>
        <v>Food</v>
      </c>
      <c r="G442" s="3">
        <v>50</v>
      </c>
      <c r="H442" s="3">
        <v>2</v>
      </c>
      <c r="I442" s="3">
        <f t="shared" si="109"/>
        <v>11103</v>
      </c>
      <c r="J442" s="3">
        <f t="shared" si="125"/>
        <v>28753776.540000007</v>
      </c>
      <c r="K442" s="4">
        <f t="shared" si="111"/>
        <v>0.9866103625481254</v>
      </c>
      <c r="M442" s="6">
        <f t="shared" si="112"/>
        <v>122.47448713915891</v>
      </c>
      <c r="N442" s="6">
        <f t="shared" si="113"/>
        <v>139.64240043768942</v>
      </c>
      <c r="O442" s="6">
        <f t="shared" si="114"/>
        <v>0.82191780821917804</v>
      </c>
      <c r="P442" s="6">
        <f t="shared" si="115"/>
        <v>6.5753424657534243</v>
      </c>
      <c r="Q442" t="str">
        <f t="shared" si="116"/>
        <v>C</v>
      </c>
      <c r="R442" s="6">
        <f t="shared" si="117"/>
        <v>61.237243569579455</v>
      </c>
      <c r="S442" s="6">
        <f t="shared" si="118"/>
        <v>4.8989794855663558</v>
      </c>
      <c r="T442" s="6">
        <f t="shared" si="119"/>
        <v>122.4744871391589</v>
      </c>
      <c r="U442" s="6">
        <f t="shared" si="120"/>
        <v>30.618621784789728</v>
      </c>
      <c r="V442" s="6">
        <f t="shared" si="121"/>
        <v>153.09310892394862</v>
      </c>
      <c r="W442">
        <v>35</v>
      </c>
      <c r="X442" t="str">
        <f t="shared" si="122"/>
        <v>OK</v>
      </c>
      <c r="Y442" s="6">
        <f t="shared" si="123"/>
        <v>13</v>
      </c>
      <c r="Z442" s="6">
        <f t="shared" si="124"/>
        <v>13</v>
      </c>
    </row>
    <row r="443" spans="1:26" x14ac:dyDescent="0.3">
      <c r="A443" s="3" t="str">
        <f t="shared" si="108"/>
        <v>SKU442</v>
      </c>
      <c r="B443" s="3">
        <v>741</v>
      </c>
      <c r="C443" s="3">
        <f t="shared" si="110"/>
        <v>963.30000000000007</v>
      </c>
      <c r="D443" s="3">
        <v>14.6</v>
      </c>
      <c r="E443" s="3">
        <v>16</v>
      </c>
      <c r="F443" s="3" t="str" cm="1">
        <f t="array" aca="1" ref="F443" ca="1">INDEX({"Electronics","Clothing","Food","Furniture"}, RANDBETWEEN(1,4))</f>
        <v>Electronics</v>
      </c>
      <c r="G443" s="3">
        <v>50</v>
      </c>
      <c r="H443" s="3">
        <v>2</v>
      </c>
      <c r="I443" s="3">
        <f t="shared" si="109"/>
        <v>10818.6</v>
      </c>
      <c r="J443" s="3">
        <f t="shared" si="125"/>
        <v>28764595.140000008</v>
      </c>
      <c r="K443" s="4">
        <f t="shared" si="111"/>
        <v>0.98698157440801504</v>
      </c>
      <c r="M443" s="6">
        <f t="shared" si="112"/>
        <v>192.48376554920156</v>
      </c>
      <c r="N443" s="6">
        <f t="shared" si="113"/>
        <v>219.46525920974372</v>
      </c>
      <c r="O443" s="6">
        <f t="shared" si="114"/>
        <v>2.0301369863013701</v>
      </c>
      <c r="P443" s="6">
        <f t="shared" si="115"/>
        <v>32.482191780821921</v>
      </c>
      <c r="Q443" t="str">
        <f t="shared" si="116"/>
        <v>C</v>
      </c>
      <c r="R443" s="6">
        <f t="shared" si="117"/>
        <v>96.241882774600782</v>
      </c>
      <c r="S443" s="6">
        <f t="shared" si="118"/>
        <v>7.6993506219680636</v>
      </c>
      <c r="T443" s="6">
        <f t="shared" si="119"/>
        <v>192.48376554920159</v>
      </c>
      <c r="U443" s="6">
        <f t="shared" si="120"/>
        <v>48.120941387300391</v>
      </c>
      <c r="V443" s="6">
        <f t="shared" si="121"/>
        <v>240.604706936502</v>
      </c>
      <c r="W443">
        <v>11</v>
      </c>
      <c r="X443" t="str">
        <f t="shared" si="122"/>
        <v>ALERT</v>
      </c>
      <c r="Y443" s="6">
        <f t="shared" si="123"/>
        <v>21</v>
      </c>
      <c r="Z443" s="6">
        <f t="shared" si="124"/>
        <v>42</v>
      </c>
    </row>
    <row r="444" spans="1:26" x14ac:dyDescent="0.3">
      <c r="A444" s="3" t="str">
        <f t="shared" si="108"/>
        <v>SKU443</v>
      </c>
      <c r="B444" s="3">
        <v>1220</v>
      </c>
      <c r="C444" s="3">
        <f t="shared" si="110"/>
        <v>1586</v>
      </c>
      <c r="D444" s="3">
        <v>8.6</v>
      </c>
      <c r="E444" s="3">
        <v>7</v>
      </c>
      <c r="F444" s="3" t="str" cm="1">
        <f t="array" aca="1" ref="F444" ca="1">INDEX({"Electronics","Clothing","Food","Furniture"}, RANDBETWEEN(1,4))</f>
        <v>Furniture</v>
      </c>
      <c r="G444" s="3">
        <v>50</v>
      </c>
      <c r="H444" s="3">
        <v>2</v>
      </c>
      <c r="I444" s="3">
        <f t="shared" si="109"/>
        <v>10492</v>
      </c>
      <c r="J444" s="3">
        <f t="shared" si="125"/>
        <v>28775087.140000008</v>
      </c>
      <c r="K444" s="4">
        <f t="shared" si="111"/>
        <v>0.98734157984623827</v>
      </c>
      <c r="M444" s="6">
        <f t="shared" si="112"/>
        <v>246.98178070456939</v>
      </c>
      <c r="N444" s="6">
        <f t="shared" si="113"/>
        <v>281.60255680657446</v>
      </c>
      <c r="O444" s="6">
        <f t="shared" si="114"/>
        <v>3.3424657534246576</v>
      </c>
      <c r="P444" s="6">
        <f t="shared" si="115"/>
        <v>23.397260273972602</v>
      </c>
      <c r="Q444" t="str">
        <f t="shared" si="116"/>
        <v>C</v>
      </c>
      <c r="R444" s="6">
        <f t="shared" si="117"/>
        <v>123.49089035228469</v>
      </c>
      <c r="S444" s="6">
        <f t="shared" si="118"/>
        <v>9.879271228182775</v>
      </c>
      <c r="T444" s="6">
        <f t="shared" si="119"/>
        <v>246.98178070456939</v>
      </c>
      <c r="U444" s="6">
        <f t="shared" si="120"/>
        <v>61.745445176142347</v>
      </c>
      <c r="V444" s="6">
        <f t="shared" si="121"/>
        <v>308.72722588071173</v>
      </c>
      <c r="W444">
        <v>17</v>
      </c>
      <c r="X444" t="str">
        <f t="shared" si="122"/>
        <v>ALERT</v>
      </c>
      <c r="Y444" s="6">
        <f t="shared" si="123"/>
        <v>12</v>
      </c>
      <c r="Z444" s="6">
        <f t="shared" si="124"/>
        <v>36</v>
      </c>
    </row>
    <row r="445" spans="1:26" x14ac:dyDescent="0.3">
      <c r="A445" s="3" t="str">
        <f t="shared" si="108"/>
        <v>SKU444</v>
      </c>
      <c r="B445" s="3">
        <v>1310</v>
      </c>
      <c r="C445" s="3">
        <f t="shared" si="110"/>
        <v>1703</v>
      </c>
      <c r="D445" s="3">
        <v>7.99</v>
      </c>
      <c r="E445" s="3">
        <v>1</v>
      </c>
      <c r="F445" s="3" t="str" cm="1">
        <f t="array" aca="1" ref="F445" ca="1">INDEX({"Electronics","Clothing","Food","Furniture"}, RANDBETWEEN(1,4))</f>
        <v>Clothing</v>
      </c>
      <c r="G445" s="3">
        <v>50</v>
      </c>
      <c r="H445" s="3">
        <v>2</v>
      </c>
      <c r="I445" s="3">
        <f t="shared" si="109"/>
        <v>10466.9</v>
      </c>
      <c r="J445" s="3">
        <f t="shared" si="125"/>
        <v>28785554.040000007</v>
      </c>
      <c r="K445" s="4">
        <f t="shared" si="111"/>
        <v>0.98770072404384956</v>
      </c>
      <c r="M445" s="6">
        <f t="shared" si="112"/>
        <v>255.92967784139455</v>
      </c>
      <c r="N445" s="6">
        <f t="shared" si="113"/>
        <v>291.80472922829745</v>
      </c>
      <c r="O445" s="6">
        <f t="shared" si="114"/>
        <v>3.5890410958904111</v>
      </c>
      <c r="P445" s="6">
        <f t="shared" si="115"/>
        <v>3.5890410958904111</v>
      </c>
      <c r="Q445" t="str">
        <f t="shared" si="116"/>
        <v>C</v>
      </c>
      <c r="R445" s="6">
        <f t="shared" si="117"/>
        <v>127.96483892069728</v>
      </c>
      <c r="S445" s="6">
        <f t="shared" si="118"/>
        <v>10.237187113655782</v>
      </c>
      <c r="T445" s="6">
        <f t="shared" si="119"/>
        <v>255.92967784139455</v>
      </c>
      <c r="U445" s="6">
        <f t="shared" si="120"/>
        <v>63.982419460348638</v>
      </c>
      <c r="V445" s="6">
        <f t="shared" si="121"/>
        <v>319.91209730174319</v>
      </c>
      <c r="W445">
        <v>37</v>
      </c>
      <c r="X445" t="str">
        <f t="shared" si="122"/>
        <v>OK</v>
      </c>
      <c r="Y445" s="6">
        <f t="shared" si="123"/>
        <v>6</v>
      </c>
      <c r="Z445" s="6">
        <f t="shared" si="124"/>
        <v>24</v>
      </c>
    </row>
    <row r="446" spans="1:26" x14ac:dyDescent="0.3">
      <c r="A446" s="3" t="str">
        <f t="shared" si="108"/>
        <v>SKU445</v>
      </c>
      <c r="B446" s="3">
        <v>837</v>
      </c>
      <c r="C446" s="3">
        <f t="shared" si="110"/>
        <v>1088.1000000000001</v>
      </c>
      <c r="D446" s="3">
        <v>12.48</v>
      </c>
      <c r="E446" s="3">
        <v>9</v>
      </c>
      <c r="F446" s="3" t="str" cm="1">
        <f t="array" aca="1" ref="F446" ca="1">INDEX({"Electronics","Clothing","Food","Furniture"}, RANDBETWEEN(1,4))</f>
        <v>Furniture</v>
      </c>
      <c r="G446" s="3">
        <v>50</v>
      </c>
      <c r="H446" s="3">
        <v>2</v>
      </c>
      <c r="I446" s="3">
        <f t="shared" si="109"/>
        <v>10445.76</v>
      </c>
      <c r="J446" s="3">
        <f t="shared" si="125"/>
        <v>28795999.800000008</v>
      </c>
      <c r="K446" s="4">
        <f t="shared" si="111"/>
        <v>0.98805914287785412</v>
      </c>
      <c r="M446" s="6">
        <f t="shared" si="112"/>
        <v>204.57272545478784</v>
      </c>
      <c r="N446" s="6">
        <f t="shared" si="113"/>
        <v>233.24879420910199</v>
      </c>
      <c r="O446" s="6">
        <f t="shared" si="114"/>
        <v>2.2931506849315069</v>
      </c>
      <c r="P446" s="6">
        <f t="shared" si="115"/>
        <v>20.638356164383563</v>
      </c>
      <c r="Q446" t="str">
        <f t="shared" si="116"/>
        <v>C</v>
      </c>
      <c r="R446" s="6">
        <f t="shared" si="117"/>
        <v>102.28636272739392</v>
      </c>
      <c r="S446" s="6">
        <f t="shared" si="118"/>
        <v>8.1829090181915127</v>
      </c>
      <c r="T446" s="6">
        <f t="shared" si="119"/>
        <v>204.57272545478781</v>
      </c>
      <c r="U446" s="6">
        <f t="shared" si="120"/>
        <v>51.143181363696961</v>
      </c>
      <c r="V446" s="6">
        <f t="shared" si="121"/>
        <v>255.71590681848477</v>
      </c>
      <c r="W446">
        <v>60</v>
      </c>
      <c r="X446" t="str">
        <f t="shared" si="122"/>
        <v>OK</v>
      </c>
      <c r="Y446" s="6">
        <f t="shared" si="123"/>
        <v>14</v>
      </c>
      <c r="Z446" s="6">
        <f t="shared" si="124"/>
        <v>28</v>
      </c>
    </row>
    <row r="447" spans="1:26" x14ac:dyDescent="0.3">
      <c r="A447" s="3" t="str">
        <f t="shared" si="108"/>
        <v>SKU446</v>
      </c>
      <c r="B447" s="3">
        <v>1470</v>
      </c>
      <c r="C447" s="3">
        <f t="shared" si="110"/>
        <v>1911</v>
      </c>
      <c r="D447" s="3">
        <v>7.08</v>
      </c>
      <c r="E447" s="3">
        <v>12</v>
      </c>
      <c r="F447" s="3" t="str" cm="1">
        <f t="array" aca="1" ref="F447" ca="1">INDEX({"Electronics","Clothing","Food","Furniture"}, RANDBETWEEN(1,4))</f>
        <v>Electronics</v>
      </c>
      <c r="G447" s="3">
        <v>50</v>
      </c>
      <c r="H447" s="3">
        <v>2</v>
      </c>
      <c r="I447" s="3">
        <f t="shared" si="109"/>
        <v>10407.6</v>
      </c>
      <c r="J447" s="3">
        <f t="shared" si="125"/>
        <v>28806407.40000001</v>
      </c>
      <c r="K447" s="4">
        <f t="shared" si="111"/>
        <v>0.98841625235162955</v>
      </c>
      <c r="M447" s="6">
        <f t="shared" si="112"/>
        <v>271.10883423451918</v>
      </c>
      <c r="N447" s="6">
        <f t="shared" si="113"/>
        <v>309.11163032147465</v>
      </c>
      <c r="O447" s="6">
        <f t="shared" si="114"/>
        <v>4.0273972602739727</v>
      </c>
      <c r="P447" s="6">
        <f t="shared" si="115"/>
        <v>48.328767123287676</v>
      </c>
      <c r="Q447" t="str">
        <f t="shared" si="116"/>
        <v>C</v>
      </c>
      <c r="R447" s="6">
        <f t="shared" si="117"/>
        <v>135.55441711725959</v>
      </c>
      <c r="S447" s="6">
        <f t="shared" si="118"/>
        <v>10.844353369380768</v>
      </c>
      <c r="T447" s="6">
        <f t="shared" si="119"/>
        <v>271.10883423451918</v>
      </c>
      <c r="U447" s="6">
        <f t="shared" si="120"/>
        <v>67.777208558629795</v>
      </c>
      <c r="V447" s="6">
        <f t="shared" si="121"/>
        <v>338.88604279314899</v>
      </c>
      <c r="W447">
        <v>79</v>
      </c>
      <c r="X447" t="str">
        <f t="shared" si="122"/>
        <v>OK</v>
      </c>
      <c r="Y447" s="6">
        <f t="shared" si="123"/>
        <v>17</v>
      </c>
      <c r="Z447" s="6">
        <f t="shared" si="124"/>
        <v>68</v>
      </c>
    </row>
    <row r="448" spans="1:26" x14ac:dyDescent="0.3">
      <c r="A448" s="3" t="str">
        <f t="shared" si="108"/>
        <v>SKU447</v>
      </c>
      <c r="B448" s="3">
        <v>118</v>
      </c>
      <c r="C448" s="3">
        <f t="shared" si="110"/>
        <v>153.4</v>
      </c>
      <c r="D448" s="3">
        <v>88.06</v>
      </c>
      <c r="E448" s="3">
        <v>27</v>
      </c>
      <c r="F448" s="3" t="str" cm="1">
        <f t="array" aca="1" ref="F448" ca="1">INDEX({"Electronics","Clothing","Food","Furniture"}, RANDBETWEEN(1,4))</f>
        <v>Furniture</v>
      </c>
      <c r="G448" s="3">
        <v>50</v>
      </c>
      <c r="H448" s="3">
        <v>2</v>
      </c>
      <c r="I448" s="3">
        <f t="shared" si="109"/>
        <v>10391.08</v>
      </c>
      <c r="J448" s="3">
        <f t="shared" si="125"/>
        <v>28816798.480000008</v>
      </c>
      <c r="K448" s="4">
        <f t="shared" si="111"/>
        <v>0.98877279498497039</v>
      </c>
      <c r="M448" s="6">
        <f t="shared" si="112"/>
        <v>76.81145747868608</v>
      </c>
      <c r="N448" s="6">
        <f t="shared" si="113"/>
        <v>87.578536183245262</v>
      </c>
      <c r="O448" s="6">
        <f t="shared" si="114"/>
        <v>0.32328767123287672</v>
      </c>
      <c r="P448" s="6">
        <f t="shared" si="115"/>
        <v>8.7287671232876711</v>
      </c>
      <c r="Q448" t="str">
        <f t="shared" si="116"/>
        <v>C</v>
      </c>
      <c r="R448" s="6">
        <f t="shared" si="117"/>
        <v>38.40572873934304</v>
      </c>
      <c r="S448" s="6">
        <f t="shared" si="118"/>
        <v>3.0724582991474434</v>
      </c>
      <c r="T448" s="6">
        <f t="shared" si="119"/>
        <v>76.81145747868608</v>
      </c>
      <c r="U448" s="6">
        <f t="shared" si="120"/>
        <v>19.20286436967152</v>
      </c>
      <c r="V448" s="6">
        <f t="shared" si="121"/>
        <v>96.014321848357596</v>
      </c>
      <c r="W448">
        <v>23</v>
      </c>
      <c r="X448" t="str">
        <f t="shared" si="122"/>
        <v>OK</v>
      </c>
      <c r="Y448" s="6">
        <f t="shared" si="123"/>
        <v>32</v>
      </c>
      <c r="Z448" s="6">
        <f t="shared" si="124"/>
        <v>0</v>
      </c>
    </row>
    <row r="449" spans="1:26" x14ac:dyDescent="0.3">
      <c r="A449" s="3" t="str">
        <f t="shared" si="108"/>
        <v>SKU448</v>
      </c>
      <c r="B449" s="3">
        <v>237</v>
      </c>
      <c r="C449" s="3">
        <f t="shared" si="110"/>
        <v>308.10000000000002</v>
      </c>
      <c r="D449" s="3">
        <v>43.77</v>
      </c>
      <c r="E449" s="3">
        <v>7</v>
      </c>
      <c r="F449" s="3" t="str" cm="1">
        <f t="array" aca="1" ref="F449" ca="1">INDEX({"Electronics","Clothing","Food","Furniture"}, RANDBETWEEN(1,4))</f>
        <v>Furniture</v>
      </c>
      <c r="G449" s="3">
        <v>50</v>
      </c>
      <c r="H449" s="3">
        <v>2</v>
      </c>
      <c r="I449" s="3">
        <f t="shared" si="109"/>
        <v>10373.490000000002</v>
      </c>
      <c r="J449" s="3">
        <f t="shared" si="125"/>
        <v>28827171.970000006</v>
      </c>
      <c r="K449" s="4">
        <f t="shared" si="111"/>
        <v>0.98912873406363544</v>
      </c>
      <c r="M449" s="6">
        <f t="shared" si="112"/>
        <v>108.8577052853862</v>
      </c>
      <c r="N449" s="6">
        <f t="shared" si="113"/>
        <v>124.11688039908191</v>
      </c>
      <c r="O449" s="6">
        <f t="shared" si="114"/>
        <v>0.64931506849315068</v>
      </c>
      <c r="P449" s="6">
        <f t="shared" si="115"/>
        <v>4.5452054794520551</v>
      </c>
      <c r="Q449" t="str">
        <f t="shared" si="116"/>
        <v>C</v>
      </c>
      <c r="R449" s="6">
        <f t="shared" si="117"/>
        <v>54.428852642693101</v>
      </c>
      <c r="S449" s="6">
        <f t="shared" si="118"/>
        <v>4.3543082114154483</v>
      </c>
      <c r="T449" s="6">
        <f t="shared" si="119"/>
        <v>108.8577052853862</v>
      </c>
      <c r="U449" s="6">
        <f t="shared" si="120"/>
        <v>27.214426321346551</v>
      </c>
      <c r="V449" s="6">
        <f t="shared" si="121"/>
        <v>136.07213160673274</v>
      </c>
      <c r="W449">
        <v>31</v>
      </c>
      <c r="X449" t="str">
        <f t="shared" si="122"/>
        <v>OK</v>
      </c>
      <c r="Y449" s="6">
        <f t="shared" si="123"/>
        <v>12</v>
      </c>
      <c r="Z449" s="6">
        <f t="shared" si="124"/>
        <v>12</v>
      </c>
    </row>
    <row r="450" spans="1:26" x14ac:dyDescent="0.3">
      <c r="A450" s="3" t="str">
        <f t="shared" ref="A450:A501" si="126">"SKU" &amp; TEXT(ROW()-1, "000")</f>
        <v>SKU449</v>
      </c>
      <c r="B450" s="3">
        <v>214</v>
      </c>
      <c r="C450" s="3">
        <f t="shared" si="110"/>
        <v>278.2</v>
      </c>
      <c r="D450" s="3">
        <v>46.9</v>
      </c>
      <c r="E450" s="3">
        <v>22</v>
      </c>
      <c r="F450" s="3" t="str" cm="1">
        <f t="array" aca="1" ref="F450" ca="1">INDEX({"Electronics","Clothing","Food","Furniture"}, RANDBETWEEN(1,4))</f>
        <v>Food</v>
      </c>
      <c r="G450" s="3">
        <v>50</v>
      </c>
      <c r="H450" s="3">
        <v>2</v>
      </c>
      <c r="I450" s="3">
        <f t="shared" ref="I450:I501" si="127">B450*D450</f>
        <v>10036.6</v>
      </c>
      <c r="J450" s="3">
        <f t="shared" si="125"/>
        <v>28837208.570000008</v>
      </c>
      <c r="K450" s="4">
        <f t="shared" si="111"/>
        <v>0.98947311364629564</v>
      </c>
      <c r="M450" s="6">
        <f t="shared" si="112"/>
        <v>103.440804327886</v>
      </c>
      <c r="N450" s="6">
        <f t="shared" si="113"/>
        <v>117.94066304714417</v>
      </c>
      <c r="O450" s="6">
        <f t="shared" si="114"/>
        <v>0.58630136986301373</v>
      </c>
      <c r="P450" s="6">
        <f t="shared" si="115"/>
        <v>12.898630136986302</v>
      </c>
      <c r="Q450" t="str">
        <f t="shared" si="116"/>
        <v>C</v>
      </c>
      <c r="R450" s="6">
        <f t="shared" si="117"/>
        <v>51.720402163943</v>
      </c>
      <c r="S450" s="6">
        <f t="shared" si="118"/>
        <v>4.1376321731154402</v>
      </c>
      <c r="T450" s="6">
        <f t="shared" si="119"/>
        <v>103.440804327886</v>
      </c>
      <c r="U450" s="6">
        <f t="shared" si="120"/>
        <v>25.8602010819715</v>
      </c>
      <c r="V450" s="6">
        <f t="shared" si="121"/>
        <v>129.30100540985751</v>
      </c>
      <c r="W450">
        <v>52</v>
      </c>
      <c r="X450" t="str">
        <f t="shared" si="122"/>
        <v>OK</v>
      </c>
      <c r="Y450" s="6">
        <f t="shared" si="123"/>
        <v>27</v>
      </c>
      <c r="Z450" s="6">
        <f t="shared" si="124"/>
        <v>27</v>
      </c>
    </row>
    <row r="451" spans="1:26" x14ac:dyDescent="0.3">
      <c r="A451" s="3" t="str">
        <f t="shared" si="126"/>
        <v>SKU450</v>
      </c>
      <c r="B451" s="3">
        <v>1731</v>
      </c>
      <c r="C451" s="3">
        <f t="shared" ref="C451:C501" si="128">B451 * 1.3</f>
        <v>2250.3000000000002</v>
      </c>
      <c r="D451" s="3">
        <v>5.73</v>
      </c>
      <c r="E451" s="3">
        <v>6</v>
      </c>
      <c r="F451" s="3" t="str" cm="1">
        <f t="array" aca="1" ref="F451" ca="1">INDEX({"Electronics","Clothing","Food","Furniture"}, RANDBETWEEN(1,4))</f>
        <v>Furniture</v>
      </c>
      <c r="G451" s="3">
        <v>50</v>
      </c>
      <c r="H451" s="3">
        <v>2</v>
      </c>
      <c r="I451" s="3">
        <f t="shared" si="127"/>
        <v>9918.630000000001</v>
      </c>
      <c r="J451" s="3">
        <f t="shared" si="125"/>
        <v>28847127.200000007</v>
      </c>
      <c r="K451" s="4">
        <f t="shared" ref="K451:K501" si="129">J451/$L$2</f>
        <v>0.98981344539808025</v>
      </c>
      <c r="M451" s="6">
        <f t="shared" ref="M451:M501" si="130">SQRT((2 * B451 * G451) / H451)</f>
        <v>294.19381366711298</v>
      </c>
      <c r="N451" s="6">
        <f t="shared" ref="N451:N501" si="131">SQRT((2 * C451 * G451) / H451)</f>
        <v>335.43255655943716</v>
      </c>
      <c r="O451" s="6">
        <f t="shared" ref="O451:O501" si="132">B451 / 365</f>
        <v>4.7424657534246579</v>
      </c>
      <c r="P451" s="6">
        <f t="shared" ref="P451:P501" si="133">E451*O451</f>
        <v>28.454794520547949</v>
      </c>
      <c r="Q451" t="str">
        <f t="shared" ref="Q451:Q501" si="134">IF(K451 &lt;= 0.8, "A", IF(K451 &lt;= 0.95, "B", "C"))</f>
        <v>C</v>
      </c>
      <c r="R451" s="6">
        <f t="shared" ref="R451:R501" si="135">M451/2</f>
        <v>147.09690683355649</v>
      </c>
      <c r="S451" s="6">
        <f t="shared" ref="S451:S501" si="136">B451/R451</f>
        <v>11.76775254668452</v>
      </c>
      <c r="T451" s="6">
        <f t="shared" ref="T451:T501" si="137">(B451/M451)*G451</f>
        <v>294.19381366711298</v>
      </c>
      <c r="U451" s="6">
        <f t="shared" ref="U451:U501" si="138">R451/H451</f>
        <v>73.548453416778244</v>
      </c>
      <c r="V451" s="6">
        <f t="shared" ref="V451:V501" si="139">T451+U451</f>
        <v>367.74226708389119</v>
      </c>
      <c r="W451">
        <v>10</v>
      </c>
      <c r="X451" t="str">
        <f t="shared" ref="X451:X501" si="140">IF(W451 &lt; P451, "ALERT", "OK")</f>
        <v>ALERT</v>
      </c>
      <c r="Y451" s="6">
        <f t="shared" ref="Y451:Y501" si="141">E451 + 5</f>
        <v>11</v>
      </c>
      <c r="Z451" s="6">
        <f t="shared" ref="Z451:Z501" si="142">ROUND(Y451, 0) * ROUND(O451, 0)</f>
        <v>55</v>
      </c>
    </row>
    <row r="452" spans="1:26" x14ac:dyDescent="0.3">
      <c r="A452" s="3" t="str">
        <f t="shared" si="126"/>
        <v>SKU451</v>
      </c>
      <c r="B452" s="3">
        <v>809</v>
      </c>
      <c r="C452" s="3">
        <f t="shared" si="128"/>
        <v>1051.7</v>
      </c>
      <c r="D452" s="3">
        <v>12.19</v>
      </c>
      <c r="E452" s="3">
        <v>23</v>
      </c>
      <c r="F452" s="3" t="str" cm="1">
        <f t="array" aca="1" ref="F452" ca="1">INDEX({"Electronics","Clothing","Food","Furniture"}, RANDBETWEEN(1,4))</f>
        <v>Food</v>
      </c>
      <c r="G452" s="3">
        <v>50</v>
      </c>
      <c r="H452" s="3">
        <v>2</v>
      </c>
      <c r="I452" s="3">
        <f t="shared" si="127"/>
        <v>9861.7099999999991</v>
      </c>
      <c r="J452" s="3">
        <f t="shared" ref="J452:J501" si="143">SUM(J451+I452)</f>
        <v>28856988.910000008</v>
      </c>
      <c r="K452" s="4">
        <f t="shared" si="129"/>
        <v>0.99015182408948132</v>
      </c>
      <c r="M452" s="6">
        <f t="shared" si="130"/>
        <v>201.12185361118767</v>
      </c>
      <c r="N452" s="6">
        <f t="shared" si="131"/>
        <v>229.31419493786248</v>
      </c>
      <c r="O452" s="6">
        <f t="shared" si="132"/>
        <v>2.2164383561643834</v>
      </c>
      <c r="P452" s="6">
        <f t="shared" si="133"/>
        <v>50.978082191780821</v>
      </c>
      <c r="Q452" t="str">
        <f t="shared" si="134"/>
        <v>C</v>
      </c>
      <c r="R452" s="6">
        <f t="shared" si="135"/>
        <v>100.56092680559384</v>
      </c>
      <c r="S452" s="6">
        <f t="shared" si="136"/>
        <v>8.0448741444475065</v>
      </c>
      <c r="T452" s="6">
        <f t="shared" si="137"/>
        <v>201.12185361118767</v>
      </c>
      <c r="U452" s="6">
        <f t="shared" si="138"/>
        <v>50.280463402796919</v>
      </c>
      <c r="V452" s="6">
        <f t="shared" si="139"/>
        <v>251.4023170139846</v>
      </c>
      <c r="W452">
        <v>49</v>
      </c>
      <c r="X452" t="str">
        <f t="shared" si="140"/>
        <v>ALERT</v>
      </c>
      <c r="Y452" s="6">
        <f t="shared" si="141"/>
        <v>28</v>
      </c>
      <c r="Z452" s="6">
        <f t="shared" si="142"/>
        <v>56</v>
      </c>
    </row>
    <row r="453" spans="1:26" x14ac:dyDescent="0.3">
      <c r="A453" s="3" t="str">
        <f t="shared" si="126"/>
        <v>SKU452</v>
      </c>
      <c r="B453" s="3">
        <v>797</v>
      </c>
      <c r="C453" s="3">
        <f t="shared" si="128"/>
        <v>1036.1000000000001</v>
      </c>
      <c r="D453" s="3">
        <v>12.31</v>
      </c>
      <c r="E453" s="3">
        <v>7</v>
      </c>
      <c r="F453" s="3" t="str" cm="1">
        <f t="array" aca="1" ref="F453" ca="1">INDEX({"Electronics","Clothing","Food","Furniture"}, RANDBETWEEN(1,4))</f>
        <v>Furniture</v>
      </c>
      <c r="G453" s="3">
        <v>50</v>
      </c>
      <c r="H453" s="3">
        <v>2</v>
      </c>
      <c r="I453" s="3">
        <f t="shared" si="127"/>
        <v>9811.07</v>
      </c>
      <c r="J453" s="3">
        <f t="shared" si="143"/>
        <v>28866799.980000008</v>
      </c>
      <c r="K453" s="4">
        <f t="shared" si="129"/>
        <v>0.99048846520221379</v>
      </c>
      <c r="M453" s="6">
        <f t="shared" si="130"/>
        <v>199.6246477767713</v>
      </c>
      <c r="N453" s="6">
        <f t="shared" si="131"/>
        <v>227.60711763914591</v>
      </c>
      <c r="O453" s="6">
        <f t="shared" si="132"/>
        <v>2.1835616438356165</v>
      </c>
      <c r="P453" s="6">
        <f t="shared" si="133"/>
        <v>15.284931506849315</v>
      </c>
      <c r="Q453" t="str">
        <f t="shared" si="134"/>
        <v>C</v>
      </c>
      <c r="R453" s="6">
        <f t="shared" si="135"/>
        <v>99.812323888385649</v>
      </c>
      <c r="S453" s="6">
        <f t="shared" si="136"/>
        <v>7.9849859110708516</v>
      </c>
      <c r="T453" s="6">
        <f t="shared" si="137"/>
        <v>199.6246477767713</v>
      </c>
      <c r="U453" s="6">
        <f t="shared" si="138"/>
        <v>49.906161944192824</v>
      </c>
      <c r="V453" s="6">
        <f t="shared" si="139"/>
        <v>249.53080972096413</v>
      </c>
      <c r="W453">
        <v>25</v>
      </c>
      <c r="X453" t="str">
        <f t="shared" si="140"/>
        <v>OK</v>
      </c>
      <c r="Y453" s="6">
        <f t="shared" si="141"/>
        <v>12</v>
      </c>
      <c r="Z453" s="6">
        <f t="shared" si="142"/>
        <v>24</v>
      </c>
    </row>
    <row r="454" spans="1:26" x14ac:dyDescent="0.3">
      <c r="A454" s="3" t="str">
        <f t="shared" si="126"/>
        <v>SKU453</v>
      </c>
      <c r="B454" s="3">
        <v>783</v>
      </c>
      <c r="C454" s="3">
        <f t="shared" si="128"/>
        <v>1017.9000000000001</v>
      </c>
      <c r="D454" s="3">
        <v>12.43</v>
      </c>
      <c r="E454" s="3">
        <v>16</v>
      </c>
      <c r="F454" s="3" t="str" cm="1">
        <f t="array" aca="1" ref="F454" ca="1">INDEX({"Electronics","Clothing","Food","Furniture"}, RANDBETWEEN(1,4))</f>
        <v>Clothing</v>
      </c>
      <c r="G454" s="3">
        <v>50</v>
      </c>
      <c r="H454" s="3">
        <v>2</v>
      </c>
      <c r="I454" s="3">
        <f t="shared" si="127"/>
        <v>9732.69</v>
      </c>
      <c r="J454" s="3">
        <f t="shared" si="143"/>
        <v>28876532.670000009</v>
      </c>
      <c r="K454" s="4">
        <f t="shared" si="129"/>
        <v>0.99082241691099582</v>
      </c>
      <c r="M454" s="6">
        <f t="shared" si="130"/>
        <v>197.86358937409378</v>
      </c>
      <c r="N454" s="6">
        <f t="shared" si="131"/>
        <v>225.59920212624868</v>
      </c>
      <c r="O454" s="6">
        <f t="shared" si="132"/>
        <v>2.1452054794520548</v>
      </c>
      <c r="P454" s="6">
        <f t="shared" si="133"/>
        <v>34.323287671232876</v>
      </c>
      <c r="Q454" t="str">
        <f t="shared" si="134"/>
        <v>C</v>
      </c>
      <c r="R454" s="6">
        <f t="shared" si="135"/>
        <v>98.931794687046889</v>
      </c>
      <c r="S454" s="6">
        <f t="shared" si="136"/>
        <v>7.9145435749637523</v>
      </c>
      <c r="T454" s="6">
        <f t="shared" si="137"/>
        <v>197.86358937409381</v>
      </c>
      <c r="U454" s="6">
        <f t="shared" si="138"/>
        <v>49.465897343523444</v>
      </c>
      <c r="V454" s="6">
        <f t="shared" si="139"/>
        <v>247.32948671761724</v>
      </c>
      <c r="W454">
        <v>31</v>
      </c>
      <c r="X454" t="str">
        <f t="shared" si="140"/>
        <v>ALERT</v>
      </c>
      <c r="Y454" s="6">
        <f t="shared" si="141"/>
        <v>21</v>
      </c>
      <c r="Z454" s="6">
        <f t="shared" si="142"/>
        <v>42</v>
      </c>
    </row>
    <row r="455" spans="1:26" x14ac:dyDescent="0.3">
      <c r="A455" s="3" t="str">
        <f t="shared" si="126"/>
        <v>SKU454</v>
      </c>
      <c r="B455" s="3">
        <v>173</v>
      </c>
      <c r="C455" s="3">
        <f t="shared" si="128"/>
        <v>224.9</v>
      </c>
      <c r="D455" s="3">
        <v>55.95</v>
      </c>
      <c r="E455" s="3">
        <v>4</v>
      </c>
      <c r="F455" s="3" t="str" cm="1">
        <f t="array" aca="1" ref="F455" ca="1">INDEX({"Electronics","Clothing","Food","Furniture"}, RANDBETWEEN(1,4))</f>
        <v>Furniture</v>
      </c>
      <c r="G455" s="3">
        <v>50</v>
      </c>
      <c r="H455" s="3">
        <v>2</v>
      </c>
      <c r="I455" s="3">
        <f t="shared" si="127"/>
        <v>9679.35</v>
      </c>
      <c r="J455" s="3">
        <f t="shared" si="143"/>
        <v>28886212.020000011</v>
      </c>
      <c r="K455" s="4">
        <f t="shared" si="129"/>
        <v>0.99115453839769674</v>
      </c>
      <c r="M455" s="6">
        <f t="shared" si="130"/>
        <v>93.005376188691372</v>
      </c>
      <c r="N455" s="6">
        <f t="shared" si="131"/>
        <v>106.04244433244644</v>
      </c>
      <c r="O455" s="6">
        <f t="shared" si="132"/>
        <v>0.47397260273972602</v>
      </c>
      <c r="P455" s="6">
        <f t="shared" si="133"/>
        <v>1.8958904109589041</v>
      </c>
      <c r="Q455" t="str">
        <f t="shared" si="134"/>
        <v>C</v>
      </c>
      <c r="R455" s="6">
        <f t="shared" si="135"/>
        <v>46.502688094345686</v>
      </c>
      <c r="S455" s="6">
        <f t="shared" si="136"/>
        <v>3.7202150475476548</v>
      </c>
      <c r="T455" s="6">
        <f t="shared" si="137"/>
        <v>93.005376188691372</v>
      </c>
      <c r="U455" s="6">
        <f t="shared" si="138"/>
        <v>23.251344047172843</v>
      </c>
      <c r="V455" s="6">
        <f t="shared" si="139"/>
        <v>116.25672023586421</v>
      </c>
      <c r="W455">
        <v>33</v>
      </c>
      <c r="X455" t="str">
        <f t="shared" si="140"/>
        <v>OK</v>
      </c>
      <c r="Y455" s="6">
        <f t="shared" si="141"/>
        <v>9</v>
      </c>
      <c r="Z455" s="6">
        <f t="shared" si="142"/>
        <v>0</v>
      </c>
    </row>
    <row r="456" spans="1:26" x14ac:dyDescent="0.3">
      <c r="A456" s="3" t="str">
        <f t="shared" si="126"/>
        <v>SKU455</v>
      </c>
      <c r="B456" s="3">
        <v>894</v>
      </c>
      <c r="C456" s="3">
        <f t="shared" si="128"/>
        <v>1162.2</v>
      </c>
      <c r="D456" s="3">
        <v>10.56</v>
      </c>
      <c r="E456" s="3">
        <v>17</v>
      </c>
      <c r="F456" s="3" t="str" cm="1">
        <f t="array" aca="1" ref="F456" ca="1">INDEX({"Electronics","Clothing","Food","Furniture"}, RANDBETWEEN(1,4))</f>
        <v>Electronics</v>
      </c>
      <c r="G456" s="3">
        <v>50</v>
      </c>
      <c r="H456" s="3">
        <v>2</v>
      </c>
      <c r="I456" s="3">
        <f t="shared" si="127"/>
        <v>9440.6400000000012</v>
      </c>
      <c r="J456" s="3">
        <f t="shared" si="143"/>
        <v>28895652.660000011</v>
      </c>
      <c r="K456" s="4">
        <f t="shared" si="129"/>
        <v>0.99147846917736771</v>
      </c>
      <c r="M456" s="6">
        <f t="shared" si="130"/>
        <v>211.42374511865975</v>
      </c>
      <c r="N456" s="6">
        <f t="shared" si="131"/>
        <v>241.06015846671968</v>
      </c>
      <c r="O456" s="6">
        <f t="shared" si="132"/>
        <v>2.4493150684931506</v>
      </c>
      <c r="P456" s="6">
        <f t="shared" si="133"/>
        <v>41.638356164383559</v>
      </c>
      <c r="Q456" t="str">
        <f t="shared" si="134"/>
        <v>C</v>
      </c>
      <c r="R456" s="6">
        <f t="shared" si="135"/>
        <v>105.71187255932988</v>
      </c>
      <c r="S456" s="6">
        <f t="shared" si="136"/>
        <v>8.4569498047463902</v>
      </c>
      <c r="T456" s="6">
        <f t="shared" si="137"/>
        <v>211.42374511865975</v>
      </c>
      <c r="U456" s="6">
        <f t="shared" si="138"/>
        <v>52.855936279664938</v>
      </c>
      <c r="V456" s="6">
        <f t="shared" si="139"/>
        <v>264.27968139832467</v>
      </c>
      <c r="W456">
        <v>85</v>
      </c>
      <c r="X456" t="str">
        <f t="shared" si="140"/>
        <v>OK</v>
      </c>
      <c r="Y456" s="6">
        <f t="shared" si="141"/>
        <v>22</v>
      </c>
      <c r="Z456" s="6">
        <f t="shared" si="142"/>
        <v>44</v>
      </c>
    </row>
    <row r="457" spans="1:26" x14ac:dyDescent="0.3">
      <c r="A457" s="3" t="str">
        <f t="shared" si="126"/>
        <v>SKU456</v>
      </c>
      <c r="B457" s="3">
        <v>337</v>
      </c>
      <c r="C457" s="3">
        <f t="shared" si="128"/>
        <v>438.1</v>
      </c>
      <c r="D457" s="3">
        <v>27.58</v>
      </c>
      <c r="E457" s="3">
        <v>5</v>
      </c>
      <c r="F457" s="3" t="str" cm="1">
        <f t="array" aca="1" ref="F457" ca="1">INDEX({"Electronics","Clothing","Food","Furniture"}, RANDBETWEEN(1,4))</f>
        <v>Furniture</v>
      </c>
      <c r="G457" s="3">
        <v>50</v>
      </c>
      <c r="H457" s="3">
        <v>2</v>
      </c>
      <c r="I457" s="3">
        <f t="shared" si="127"/>
        <v>9294.4599999999991</v>
      </c>
      <c r="J457" s="3">
        <f t="shared" si="143"/>
        <v>28904947.120000012</v>
      </c>
      <c r="K457" s="4">
        <f t="shared" si="129"/>
        <v>0.99179738417406504</v>
      </c>
      <c r="M457" s="6">
        <f t="shared" si="130"/>
        <v>129.80754985747168</v>
      </c>
      <c r="N457" s="6">
        <f t="shared" si="131"/>
        <v>148.00337833982033</v>
      </c>
      <c r="O457" s="6">
        <f t="shared" si="132"/>
        <v>0.92328767123287669</v>
      </c>
      <c r="P457" s="6">
        <f t="shared" si="133"/>
        <v>4.6164383561643838</v>
      </c>
      <c r="Q457" t="str">
        <f t="shared" si="134"/>
        <v>C</v>
      </c>
      <c r="R457" s="6">
        <f t="shared" si="135"/>
        <v>64.903774928735842</v>
      </c>
      <c r="S457" s="6">
        <f t="shared" si="136"/>
        <v>5.1923019942988686</v>
      </c>
      <c r="T457" s="6">
        <f t="shared" si="137"/>
        <v>129.80754985747171</v>
      </c>
      <c r="U457" s="6">
        <f t="shared" si="138"/>
        <v>32.451887464367921</v>
      </c>
      <c r="V457" s="6">
        <f t="shared" si="139"/>
        <v>162.25943732183964</v>
      </c>
      <c r="W457">
        <v>14</v>
      </c>
      <c r="X457" t="str">
        <f t="shared" si="140"/>
        <v>OK</v>
      </c>
      <c r="Y457" s="6">
        <f t="shared" si="141"/>
        <v>10</v>
      </c>
      <c r="Z457" s="6">
        <f t="shared" si="142"/>
        <v>10</v>
      </c>
    </row>
    <row r="458" spans="1:26" x14ac:dyDescent="0.3">
      <c r="A458" s="3" t="str">
        <f t="shared" si="126"/>
        <v>SKU457</v>
      </c>
      <c r="B458" s="3">
        <v>302</v>
      </c>
      <c r="C458" s="3">
        <f t="shared" si="128"/>
        <v>392.6</v>
      </c>
      <c r="D458" s="3">
        <v>30.36</v>
      </c>
      <c r="E458" s="3">
        <v>13</v>
      </c>
      <c r="F458" s="3" t="str" cm="1">
        <f t="array" aca="1" ref="F458" ca="1">INDEX({"Electronics","Clothing","Food","Furniture"}, RANDBETWEEN(1,4))</f>
        <v>Furniture</v>
      </c>
      <c r="G458" s="3">
        <v>50</v>
      </c>
      <c r="H458" s="3">
        <v>2</v>
      </c>
      <c r="I458" s="3">
        <f t="shared" si="127"/>
        <v>9168.7199999999993</v>
      </c>
      <c r="J458" s="3">
        <f t="shared" si="143"/>
        <v>28914115.840000011</v>
      </c>
      <c r="K458" s="4">
        <f t="shared" si="129"/>
        <v>0.99211198473273321</v>
      </c>
      <c r="M458" s="6">
        <f t="shared" si="130"/>
        <v>122.88205727444507</v>
      </c>
      <c r="N458" s="6">
        <f t="shared" si="131"/>
        <v>140.10710188994705</v>
      </c>
      <c r="O458" s="6">
        <f t="shared" si="132"/>
        <v>0.82739726027397265</v>
      </c>
      <c r="P458" s="6">
        <f t="shared" si="133"/>
        <v>10.756164383561645</v>
      </c>
      <c r="Q458" t="str">
        <f t="shared" si="134"/>
        <v>C</v>
      </c>
      <c r="R458" s="6">
        <f t="shared" si="135"/>
        <v>61.441028637222537</v>
      </c>
      <c r="S458" s="6">
        <f t="shared" si="136"/>
        <v>4.9152822909778031</v>
      </c>
      <c r="T458" s="6">
        <f t="shared" si="137"/>
        <v>122.88205727444507</v>
      </c>
      <c r="U458" s="6">
        <f t="shared" si="138"/>
        <v>30.720514318611269</v>
      </c>
      <c r="V458" s="6">
        <f t="shared" si="139"/>
        <v>153.60257159305635</v>
      </c>
      <c r="W458">
        <v>43</v>
      </c>
      <c r="X458" t="str">
        <f t="shared" si="140"/>
        <v>OK</v>
      </c>
      <c r="Y458" s="6">
        <f t="shared" si="141"/>
        <v>18</v>
      </c>
      <c r="Z458" s="6">
        <f t="shared" si="142"/>
        <v>18</v>
      </c>
    </row>
    <row r="459" spans="1:26" x14ac:dyDescent="0.3">
      <c r="A459" s="3" t="str">
        <f t="shared" si="126"/>
        <v>SKU458</v>
      </c>
      <c r="B459" s="3">
        <v>1789</v>
      </c>
      <c r="C459" s="3">
        <f t="shared" si="128"/>
        <v>2325.7000000000003</v>
      </c>
      <c r="D459" s="3">
        <v>5.01</v>
      </c>
      <c r="E459" s="3">
        <v>23</v>
      </c>
      <c r="F459" s="3" t="str" cm="1">
        <f t="array" aca="1" ref="F459" ca="1">INDEX({"Electronics","Clothing","Food","Furniture"}, RANDBETWEEN(1,4))</f>
        <v>Clothing</v>
      </c>
      <c r="G459" s="3">
        <v>50</v>
      </c>
      <c r="H459" s="3">
        <v>2</v>
      </c>
      <c r="I459" s="3">
        <f t="shared" si="127"/>
        <v>8962.89</v>
      </c>
      <c r="J459" s="3">
        <f t="shared" si="143"/>
        <v>28923078.730000012</v>
      </c>
      <c r="K459" s="4">
        <f t="shared" si="129"/>
        <v>0.99241952277526047</v>
      </c>
      <c r="M459" s="6">
        <f t="shared" si="130"/>
        <v>299.08192857476359</v>
      </c>
      <c r="N459" s="6">
        <f t="shared" si="131"/>
        <v>341.00586505220116</v>
      </c>
      <c r="O459" s="6">
        <f t="shared" si="132"/>
        <v>4.9013698630136986</v>
      </c>
      <c r="P459" s="6">
        <f t="shared" si="133"/>
        <v>112.73150684931507</v>
      </c>
      <c r="Q459" t="str">
        <f t="shared" si="134"/>
        <v>C</v>
      </c>
      <c r="R459" s="6">
        <f t="shared" si="135"/>
        <v>149.5409642873818</v>
      </c>
      <c r="S459" s="6">
        <f t="shared" si="136"/>
        <v>11.963277142990545</v>
      </c>
      <c r="T459" s="6">
        <f t="shared" si="137"/>
        <v>299.08192857476365</v>
      </c>
      <c r="U459" s="6">
        <f t="shared" si="138"/>
        <v>74.770482143690899</v>
      </c>
      <c r="V459" s="6">
        <f t="shared" si="139"/>
        <v>373.85241071845456</v>
      </c>
      <c r="W459">
        <v>148</v>
      </c>
      <c r="X459" t="str">
        <f t="shared" si="140"/>
        <v>OK</v>
      </c>
      <c r="Y459" s="6">
        <f t="shared" si="141"/>
        <v>28</v>
      </c>
      <c r="Z459" s="6">
        <f t="shared" si="142"/>
        <v>140</v>
      </c>
    </row>
    <row r="460" spans="1:26" x14ac:dyDescent="0.3">
      <c r="A460" s="3" t="str">
        <f t="shared" si="126"/>
        <v>SKU459</v>
      </c>
      <c r="B460" s="3">
        <v>211</v>
      </c>
      <c r="C460" s="3">
        <f t="shared" si="128"/>
        <v>274.3</v>
      </c>
      <c r="D460" s="3">
        <v>41.23</v>
      </c>
      <c r="E460" s="3">
        <v>4</v>
      </c>
      <c r="F460" s="3" t="str" cm="1">
        <f t="array" aca="1" ref="F460" ca="1">INDEX({"Electronics","Clothing","Food","Furniture"}, RANDBETWEEN(1,4))</f>
        <v>Food</v>
      </c>
      <c r="G460" s="3">
        <v>50</v>
      </c>
      <c r="H460" s="3">
        <v>2</v>
      </c>
      <c r="I460" s="3">
        <f t="shared" si="127"/>
        <v>8699.5299999999988</v>
      </c>
      <c r="J460" s="3">
        <f t="shared" si="143"/>
        <v>28931778.260000013</v>
      </c>
      <c r="K460" s="4">
        <f t="shared" si="129"/>
        <v>0.99271802431071476</v>
      </c>
      <c r="M460" s="6">
        <f t="shared" si="130"/>
        <v>102.71319292087068</v>
      </c>
      <c r="N460" s="6">
        <f t="shared" si="131"/>
        <v>117.11105840184351</v>
      </c>
      <c r="O460" s="6">
        <f t="shared" si="132"/>
        <v>0.57808219178082187</v>
      </c>
      <c r="P460" s="6">
        <f t="shared" si="133"/>
        <v>2.3123287671232875</v>
      </c>
      <c r="Q460" t="str">
        <f t="shared" si="134"/>
        <v>C</v>
      </c>
      <c r="R460" s="6">
        <f t="shared" si="135"/>
        <v>51.356596460435341</v>
      </c>
      <c r="S460" s="6">
        <f t="shared" si="136"/>
        <v>4.1085277168348275</v>
      </c>
      <c r="T460" s="6">
        <f t="shared" si="137"/>
        <v>102.71319292087068</v>
      </c>
      <c r="U460" s="6">
        <f t="shared" si="138"/>
        <v>25.678298230217671</v>
      </c>
      <c r="V460" s="6">
        <f t="shared" si="139"/>
        <v>128.39149115108836</v>
      </c>
      <c r="W460">
        <v>1</v>
      </c>
      <c r="X460" t="str">
        <f t="shared" si="140"/>
        <v>ALERT</v>
      </c>
      <c r="Y460" s="6">
        <f t="shared" si="141"/>
        <v>9</v>
      </c>
      <c r="Z460" s="6">
        <f t="shared" si="142"/>
        <v>9</v>
      </c>
    </row>
    <row r="461" spans="1:26" x14ac:dyDescent="0.3">
      <c r="A461" s="3" t="str">
        <f t="shared" si="126"/>
        <v>SKU460</v>
      </c>
      <c r="B461" s="3">
        <v>163</v>
      </c>
      <c r="C461" s="3">
        <f t="shared" si="128"/>
        <v>211.9</v>
      </c>
      <c r="D461" s="3">
        <v>52.51</v>
      </c>
      <c r="E461" s="3">
        <v>16</v>
      </c>
      <c r="F461" s="3" t="str" cm="1">
        <f t="array" aca="1" ref="F461" ca="1">INDEX({"Electronics","Clothing","Food","Furniture"}, RANDBETWEEN(1,4))</f>
        <v>Clothing</v>
      </c>
      <c r="G461" s="3">
        <v>50</v>
      </c>
      <c r="H461" s="3">
        <v>2</v>
      </c>
      <c r="I461" s="3">
        <f t="shared" si="127"/>
        <v>8559.1299999999992</v>
      </c>
      <c r="J461" s="3">
        <f t="shared" si="143"/>
        <v>28940337.390000012</v>
      </c>
      <c r="K461" s="4">
        <f t="shared" si="129"/>
        <v>0.99301170838872266</v>
      </c>
      <c r="M461" s="6">
        <f t="shared" si="130"/>
        <v>90.277350426338941</v>
      </c>
      <c r="N461" s="6">
        <f t="shared" si="131"/>
        <v>102.93201639917486</v>
      </c>
      <c r="O461" s="6">
        <f t="shared" si="132"/>
        <v>0.44657534246575342</v>
      </c>
      <c r="P461" s="6">
        <f t="shared" si="133"/>
        <v>7.1452054794520548</v>
      </c>
      <c r="Q461" t="str">
        <f t="shared" si="134"/>
        <v>C</v>
      </c>
      <c r="R461" s="6">
        <f t="shared" si="135"/>
        <v>45.138675213169471</v>
      </c>
      <c r="S461" s="6">
        <f t="shared" si="136"/>
        <v>3.6110940170535577</v>
      </c>
      <c r="T461" s="6">
        <f t="shared" si="137"/>
        <v>90.277350426338941</v>
      </c>
      <c r="U461" s="6">
        <f t="shared" si="138"/>
        <v>22.569337606584735</v>
      </c>
      <c r="V461" s="6">
        <f t="shared" si="139"/>
        <v>112.84668803292368</v>
      </c>
      <c r="W461">
        <v>50</v>
      </c>
      <c r="X461" t="str">
        <f t="shared" si="140"/>
        <v>OK</v>
      </c>
      <c r="Y461" s="6">
        <f t="shared" si="141"/>
        <v>21</v>
      </c>
      <c r="Z461" s="6">
        <f t="shared" si="142"/>
        <v>0</v>
      </c>
    </row>
    <row r="462" spans="1:26" x14ac:dyDescent="0.3">
      <c r="A462" s="3" t="str">
        <f t="shared" si="126"/>
        <v>SKU461</v>
      </c>
      <c r="B462" s="3">
        <v>874</v>
      </c>
      <c r="C462" s="3">
        <f t="shared" si="128"/>
        <v>1136.2</v>
      </c>
      <c r="D462" s="3">
        <v>9.5299999999999994</v>
      </c>
      <c r="E462" s="3">
        <v>15</v>
      </c>
      <c r="F462" s="3" t="str" cm="1">
        <f t="array" aca="1" ref="F462" ca="1">INDEX({"Electronics","Clothing","Food","Furniture"}, RANDBETWEEN(1,4))</f>
        <v>Furniture</v>
      </c>
      <c r="G462" s="3">
        <v>50</v>
      </c>
      <c r="H462" s="3">
        <v>2</v>
      </c>
      <c r="I462" s="3">
        <f t="shared" si="127"/>
        <v>8329.2199999999993</v>
      </c>
      <c r="J462" s="3">
        <f t="shared" si="143"/>
        <v>28948666.610000011</v>
      </c>
      <c r="K462" s="4">
        <f t="shared" si="129"/>
        <v>0.99329750370860037</v>
      </c>
      <c r="M462" s="6">
        <f t="shared" si="130"/>
        <v>209.04544960366871</v>
      </c>
      <c r="N462" s="6">
        <f t="shared" si="131"/>
        <v>238.34848436690342</v>
      </c>
      <c r="O462" s="6">
        <f t="shared" si="132"/>
        <v>2.3945205479452056</v>
      </c>
      <c r="P462" s="6">
        <f t="shared" si="133"/>
        <v>35.917808219178085</v>
      </c>
      <c r="Q462" t="str">
        <f t="shared" si="134"/>
        <v>C</v>
      </c>
      <c r="R462" s="6">
        <f t="shared" si="135"/>
        <v>104.52272480183436</v>
      </c>
      <c r="S462" s="6">
        <f t="shared" si="136"/>
        <v>8.3618179841467501</v>
      </c>
      <c r="T462" s="6">
        <f t="shared" si="137"/>
        <v>209.04544960366874</v>
      </c>
      <c r="U462" s="6">
        <f t="shared" si="138"/>
        <v>52.261362400917179</v>
      </c>
      <c r="V462" s="6">
        <f t="shared" si="139"/>
        <v>261.30681200458594</v>
      </c>
      <c r="W462">
        <v>15</v>
      </c>
      <c r="X462" t="str">
        <f t="shared" si="140"/>
        <v>ALERT</v>
      </c>
      <c r="Y462" s="6">
        <f t="shared" si="141"/>
        <v>20</v>
      </c>
      <c r="Z462" s="6">
        <f t="shared" si="142"/>
        <v>40</v>
      </c>
    </row>
    <row r="463" spans="1:26" x14ac:dyDescent="0.3">
      <c r="A463" s="3" t="str">
        <f t="shared" si="126"/>
        <v>SKU462</v>
      </c>
      <c r="B463" s="3">
        <v>304</v>
      </c>
      <c r="C463" s="3">
        <f t="shared" si="128"/>
        <v>395.2</v>
      </c>
      <c r="D463" s="3">
        <v>27.08</v>
      </c>
      <c r="E463" s="3">
        <v>26</v>
      </c>
      <c r="F463" s="3" t="str" cm="1">
        <f t="array" aca="1" ref="F463" ca="1">INDEX({"Electronics","Clothing","Food","Furniture"}, RANDBETWEEN(1,4))</f>
        <v>Food</v>
      </c>
      <c r="G463" s="3">
        <v>50</v>
      </c>
      <c r="H463" s="3">
        <v>2</v>
      </c>
      <c r="I463" s="3">
        <f t="shared" si="127"/>
        <v>8232.32</v>
      </c>
      <c r="J463" s="3">
        <f t="shared" si="143"/>
        <v>28956898.930000011</v>
      </c>
      <c r="K463" s="4">
        <f t="shared" si="129"/>
        <v>0.99357997415934318</v>
      </c>
      <c r="M463" s="6">
        <f t="shared" si="130"/>
        <v>123.28828005937953</v>
      </c>
      <c r="N463" s="6">
        <f t="shared" si="131"/>
        <v>140.57026712644463</v>
      </c>
      <c r="O463" s="6">
        <f t="shared" si="132"/>
        <v>0.83287671232876714</v>
      </c>
      <c r="P463" s="6">
        <f t="shared" si="133"/>
        <v>21.654794520547945</v>
      </c>
      <c r="Q463" t="str">
        <f t="shared" si="134"/>
        <v>C</v>
      </c>
      <c r="R463" s="6">
        <f t="shared" si="135"/>
        <v>61.644140029689765</v>
      </c>
      <c r="S463" s="6">
        <f t="shared" si="136"/>
        <v>4.9315312023751812</v>
      </c>
      <c r="T463" s="6">
        <f t="shared" si="137"/>
        <v>123.28828005937953</v>
      </c>
      <c r="U463" s="6">
        <f t="shared" si="138"/>
        <v>30.822070014844883</v>
      </c>
      <c r="V463" s="6">
        <f t="shared" si="139"/>
        <v>154.11035007422441</v>
      </c>
      <c r="W463">
        <v>70</v>
      </c>
      <c r="X463" t="str">
        <f t="shared" si="140"/>
        <v>OK</v>
      </c>
      <c r="Y463" s="6">
        <f t="shared" si="141"/>
        <v>31</v>
      </c>
      <c r="Z463" s="6">
        <f t="shared" si="142"/>
        <v>31</v>
      </c>
    </row>
    <row r="464" spans="1:26" x14ac:dyDescent="0.3">
      <c r="A464" s="3" t="str">
        <f t="shared" si="126"/>
        <v>SKU463</v>
      </c>
      <c r="B464" s="3">
        <v>134</v>
      </c>
      <c r="C464" s="3">
        <f t="shared" si="128"/>
        <v>174.20000000000002</v>
      </c>
      <c r="D464" s="3">
        <v>61.22</v>
      </c>
      <c r="E464" s="3">
        <v>24</v>
      </c>
      <c r="F464" s="3" t="str" cm="1">
        <f t="array" aca="1" ref="F464" ca="1">INDEX({"Electronics","Clothing","Food","Furniture"}, RANDBETWEEN(1,4))</f>
        <v>Electronics</v>
      </c>
      <c r="G464" s="3">
        <v>50</v>
      </c>
      <c r="H464" s="3">
        <v>2</v>
      </c>
      <c r="I464" s="3">
        <f t="shared" si="127"/>
        <v>8203.48</v>
      </c>
      <c r="J464" s="3">
        <f t="shared" si="143"/>
        <v>28965102.410000011</v>
      </c>
      <c r="K464" s="4">
        <f t="shared" si="129"/>
        <v>0.99386145504119183</v>
      </c>
      <c r="M464" s="6">
        <f t="shared" si="130"/>
        <v>81.853527718724493</v>
      </c>
      <c r="N464" s="6">
        <f t="shared" si="131"/>
        <v>93.327380762560779</v>
      </c>
      <c r="O464" s="6">
        <f t="shared" si="132"/>
        <v>0.36712328767123287</v>
      </c>
      <c r="P464" s="6">
        <f t="shared" si="133"/>
        <v>8.8109589041095884</v>
      </c>
      <c r="Q464" t="str">
        <f t="shared" si="134"/>
        <v>C</v>
      </c>
      <c r="R464" s="6">
        <f t="shared" si="135"/>
        <v>40.926763859362246</v>
      </c>
      <c r="S464" s="6">
        <f t="shared" si="136"/>
        <v>3.2741411087489802</v>
      </c>
      <c r="T464" s="6">
        <f t="shared" si="137"/>
        <v>81.853527718724507</v>
      </c>
      <c r="U464" s="6">
        <f t="shared" si="138"/>
        <v>20.463381929681123</v>
      </c>
      <c r="V464" s="6">
        <f t="shared" si="139"/>
        <v>102.31690964840563</v>
      </c>
      <c r="W464">
        <v>57</v>
      </c>
      <c r="X464" t="str">
        <f t="shared" si="140"/>
        <v>OK</v>
      </c>
      <c r="Y464" s="6">
        <f t="shared" si="141"/>
        <v>29</v>
      </c>
      <c r="Z464" s="6">
        <f t="shared" si="142"/>
        <v>0</v>
      </c>
    </row>
    <row r="465" spans="1:26" x14ac:dyDescent="0.3">
      <c r="A465" s="3" t="str">
        <f t="shared" si="126"/>
        <v>SKU464</v>
      </c>
      <c r="B465" s="3">
        <v>618</v>
      </c>
      <c r="C465" s="3">
        <f t="shared" si="128"/>
        <v>803.4</v>
      </c>
      <c r="D465" s="3">
        <v>13.22</v>
      </c>
      <c r="E465" s="3">
        <v>30</v>
      </c>
      <c r="F465" s="3" t="str" cm="1">
        <f t="array" aca="1" ref="F465" ca="1">INDEX({"Electronics","Clothing","Food","Furniture"}, RANDBETWEEN(1,4))</f>
        <v>Food</v>
      </c>
      <c r="G465" s="3">
        <v>50</v>
      </c>
      <c r="H465" s="3">
        <v>2</v>
      </c>
      <c r="I465" s="3">
        <f t="shared" si="127"/>
        <v>8169.96</v>
      </c>
      <c r="J465" s="3">
        <f t="shared" si="143"/>
        <v>28973272.370000012</v>
      </c>
      <c r="K465" s="4">
        <f t="shared" si="129"/>
        <v>0.99414178577223133</v>
      </c>
      <c r="M465" s="6">
        <f t="shared" si="130"/>
        <v>175.78395831246945</v>
      </c>
      <c r="N465" s="6">
        <f t="shared" si="131"/>
        <v>200.42454939452901</v>
      </c>
      <c r="O465" s="6">
        <f t="shared" si="132"/>
        <v>1.6931506849315068</v>
      </c>
      <c r="P465" s="6">
        <f t="shared" si="133"/>
        <v>50.794520547945204</v>
      </c>
      <c r="Q465" t="str">
        <f t="shared" si="134"/>
        <v>C</v>
      </c>
      <c r="R465" s="6">
        <f t="shared" si="135"/>
        <v>87.891979156234726</v>
      </c>
      <c r="S465" s="6">
        <f t="shared" si="136"/>
        <v>7.0313583324987787</v>
      </c>
      <c r="T465" s="6">
        <f t="shared" si="137"/>
        <v>175.78395831246948</v>
      </c>
      <c r="U465" s="6">
        <f t="shared" si="138"/>
        <v>43.945989578117363</v>
      </c>
      <c r="V465" s="6">
        <f t="shared" si="139"/>
        <v>219.72994789058686</v>
      </c>
      <c r="W465">
        <v>80</v>
      </c>
      <c r="X465" t="str">
        <f t="shared" si="140"/>
        <v>OK</v>
      </c>
      <c r="Y465" s="6">
        <f t="shared" si="141"/>
        <v>35</v>
      </c>
      <c r="Z465" s="6">
        <f t="shared" si="142"/>
        <v>70</v>
      </c>
    </row>
    <row r="466" spans="1:26" x14ac:dyDescent="0.3">
      <c r="A466" s="3" t="str">
        <f t="shared" si="126"/>
        <v>SKU465</v>
      </c>
      <c r="B466" s="3">
        <v>1464</v>
      </c>
      <c r="C466" s="3">
        <f t="shared" si="128"/>
        <v>1903.2</v>
      </c>
      <c r="D466" s="3">
        <v>5.28</v>
      </c>
      <c r="E466" s="3">
        <v>2</v>
      </c>
      <c r="F466" s="3" t="str" cm="1">
        <f t="array" aca="1" ref="F466" ca="1">INDEX({"Electronics","Clothing","Food","Furniture"}, RANDBETWEEN(1,4))</f>
        <v>Clothing</v>
      </c>
      <c r="G466" s="3">
        <v>50</v>
      </c>
      <c r="H466" s="3">
        <v>2</v>
      </c>
      <c r="I466" s="3">
        <f t="shared" si="127"/>
        <v>7729.92</v>
      </c>
      <c r="J466" s="3">
        <f t="shared" si="143"/>
        <v>28981002.290000014</v>
      </c>
      <c r="K466" s="4">
        <f t="shared" si="129"/>
        <v>0.99440701768578743</v>
      </c>
      <c r="M466" s="6">
        <f t="shared" si="130"/>
        <v>270.55498516937365</v>
      </c>
      <c r="N466" s="6">
        <f t="shared" si="131"/>
        <v>308.48014522818158</v>
      </c>
      <c r="O466" s="6">
        <f t="shared" si="132"/>
        <v>4.0109589041095894</v>
      </c>
      <c r="P466" s="6">
        <f t="shared" si="133"/>
        <v>8.0219178082191789</v>
      </c>
      <c r="Q466" t="str">
        <f t="shared" si="134"/>
        <v>C</v>
      </c>
      <c r="R466" s="6">
        <f t="shared" si="135"/>
        <v>135.27749258468683</v>
      </c>
      <c r="S466" s="6">
        <f t="shared" si="136"/>
        <v>10.822199406774947</v>
      </c>
      <c r="T466" s="6">
        <f t="shared" si="137"/>
        <v>270.55498516937371</v>
      </c>
      <c r="U466" s="6">
        <f t="shared" si="138"/>
        <v>67.638746292343413</v>
      </c>
      <c r="V466" s="6">
        <f t="shared" si="139"/>
        <v>338.19373146171711</v>
      </c>
      <c r="W466">
        <v>7</v>
      </c>
      <c r="X466" t="str">
        <f t="shared" si="140"/>
        <v>ALERT</v>
      </c>
      <c r="Y466" s="6">
        <f t="shared" si="141"/>
        <v>7</v>
      </c>
      <c r="Z466" s="6">
        <f t="shared" si="142"/>
        <v>28</v>
      </c>
    </row>
    <row r="467" spans="1:26" x14ac:dyDescent="0.3">
      <c r="A467" s="3" t="str">
        <f t="shared" si="126"/>
        <v>SKU466</v>
      </c>
      <c r="B467" s="3">
        <v>1141</v>
      </c>
      <c r="C467" s="3">
        <f t="shared" si="128"/>
        <v>1483.3</v>
      </c>
      <c r="D467" s="3">
        <v>6.62</v>
      </c>
      <c r="E467" s="3">
        <v>11</v>
      </c>
      <c r="F467" s="3" t="str" cm="1">
        <f t="array" aca="1" ref="F467" ca="1">INDEX({"Electronics","Clothing","Food","Furniture"}, RANDBETWEEN(1,4))</f>
        <v>Electronics</v>
      </c>
      <c r="G467" s="3">
        <v>50</v>
      </c>
      <c r="H467" s="3">
        <v>2</v>
      </c>
      <c r="I467" s="3">
        <f t="shared" si="127"/>
        <v>7553.42</v>
      </c>
      <c r="J467" s="3">
        <f t="shared" si="143"/>
        <v>28988555.710000016</v>
      </c>
      <c r="K467" s="4">
        <f t="shared" si="129"/>
        <v>0.99466619346516072</v>
      </c>
      <c r="M467" s="6">
        <f t="shared" si="130"/>
        <v>238.85141824992374</v>
      </c>
      <c r="N467" s="6">
        <f t="shared" si="131"/>
        <v>272.33251733863881</v>
      </c>
      <c r="O467" s="6">
        <f t="shared" si="132"/>
        <v>3.1260273972602741</v>
      </c>
      <c r="P467" s="6">
        <f t="shared" si="133"/>
        <v>34.386301369863013</v>
      </c>
      <c r="Q467" t="str">
        <f t="shared" si="134"/>
        <v>C</v>
      </c>
      <c r="R467" s="6">
        <f t="shared" si="135"/>
        <v>119.42570912496187</v>
      </c>
      <c r="S467" s="6">
        <f t="shared" si="136"/>
        <v>9.5540567299969492</v>
      </c>
      <c r="T467" s="6">
        <f t="shared" si="137"/>
        <v>238.85141824992374</v>
      </c>
      <c r="U467" s="6">
        <f t="shared" si="138"/>
        <v>59.712854562480935</v>
      </c>
      <c r="V467" s="6">
        <f t="shared" si="139"/>
        <v>298.56427281240468</v>
      </c>
      <c r="W467">
        <v>72</v>
      </c>
      <c r="X467" t="str">
        <f t="shared" si="140"/>
        <v>OK</v>
      </c>
      <c r="Y467" s="6">
        <f t="shared" si="141"/>
        <v>16</v>
      </c>
      <c r="Z467" s="6">
        <f t="shared" si="142"/>
        <v>48</v>
      </c>
    </row>
    <row r="468" spans="1:26" x14ac:dyDescent="0.3">
      <c r="A468" s="3" t="str">
        <f t="shared" si="126"/>
        <v>SKU467</v>
      </c>
      <c r="B468" s="3">
        <v>872</v>
      </c>
      <c r="C468" s="3">
        <f t="shared" si="128"/>
        <v>1133.6000000000001</v>
      </c>
      <c r="D468" s="3">
        <v>8.59</v>
      </c>
      <c r="E468" s="3">
        <v>29</v>
      </c>
      <c r="F468" s="3" t="str" cm="1">
        <f t="array" aca="1" ref="F468" ca="1">INDEX({"Electronics","Clothing","Food","Furniture"}, RANDBETWEEN(1,4))</f>
        <v>Furniture</v>
      </c>
      <c r="G468" s="3">
        <v>50</v>
      </c>
      <c r="H468" s="3">
        <v>2</v>
      </c>
      <c r="I468" s="3">
        <f t="shared" si="127"/>
        <v>7490.48</v>
      </c>
      <c r="J468" s="3">
        <f t="shared" si="143"/>
        <v>28996046.190000016</v>
      </c>
      <c r="K468" s="4">
        <f t="shared" si="129"/>
        <v>0.99492320962365322</v>
      </c>
      <c r="M468" s="6">
        <f t="shared" si="130"/>
        <v>208.80613017821099</v>
      </c>
      <c r="N468" s="6">
        <f t="shared" si="131"/>
        <v>238.07561823924769</v>
      </c>
      <c r="O468" s="6">
        <f t="shared" si="132"/>
        <v>2.3890410958904109</v>
      </c>
      <c r="P468" s="6">
        <f t="shared" si="133"/>
        <v>69.282191780821918</v>
      </c>
      <c r="Q468" t="str">
        <f t="shared" si="134"/>
        <v>C</v>
      </c>
      <c r="R468" s="6">
        <f t="shared" si="135"/>
        <v>104.4030650891055</v>
      </c>
      <c r="S468" s="6">
        <f t="shared" si="136"/>
        <v>8.3522452071284405</v>
      </c>
      <c r="T468" s="6">
        <f t="shared" si="137"/>
        <v>208.80613017821102</v>
      </c>
      <c r="U468" s="6">
        <f t="shared" si="138"/>
        <v>52.201532544552748</v>
      </c>
      <c r="V468" s="6">
        <f t="shared" si="139"/>
        <v>261.00766272276377</v>
      </c>
      <c r="W468">
        <v>79</v>
      </c>
      <c r="X468" t="str">
        <f t="shared" si="140"/>
        <v>OK</v>
      </c>
      <c r="Y468" s="6">
        <f t="shared" si="141"/>
        <v>34</v>
      </c>
      <c r="Z468" s="6">
        <f t="shared" si="142"/>
        <v>68</v>
      </c>
    </row>
    <row r="469" spans="1:26" x14ac:dyDescent="0.3">
      <c r="A469" s="3" t="str">
        <f t="shared" si="126"/>
        <v>SKU468</v>
      </c>
      <c r="B469" s="3">
        <v>113</v>
      </c>
      <c r="C469" s="3">
        <f t="shared" si="128"/>
        <v>146.9</v>
      </c>
      <c r="D469" s="3">
        <v>65.069999999999993</v>
      </c>
      <c r="E469" s="3">
        <v>22</v>
      </c>
      <c r="F469" s="3" t="str" cm="1">
        <f t="array" aca="1" ref="F469" ca="1">INDEX({"Electronics","Clothing","Food","Furniture"}, RANDBETWEEN(1,4))</f>
        <v>Furniture</v>
      </c>
      <c r="G469" s="3">
        <v>50</v>
      </c>
      <c r="H469" s="3">
        <v>2</v>
      </c>
      <c r="I469" s="3">
        <f t="shared" si="127"/>
        <v>7352.9099999999989</v>
      </c>
      <c r="J469" s="3">
        <f t="shared" si="143"/>
        <v>29003399.100000016</v>
      </c>
      <c r="K469" s="4">
        <f t="shared" si="129"/>
        <v>0.99517550542872046</v>
      </c>
      <c r="M469" s="6">
        <f t="shared" si="130"/>
        <v>75.166481891864535</v>
      </c>
      <c r="N469" s="6">
        <f t="shared" si="131"/>
        <v>85.702975444263316</v>
      </c>
      <c r="O469" s="6">
        <f t="shared" si="132"/>
        <v>0.30958904109589042</v>
      </c>
      <c r="P469" s="6">
        <f t="shared" si="133"/>
        <v>6.8109589041095893</v>
      </c>
      <c r="Q469" t="str">
        <f t="shared" si="134"/>
        <v>C</v>
      </c>
      <c r="R469" s="6">
        <f t="shared" si="135"/>
        <v>37.583240945932268</v>
      </c>
      <c r="S469" s="6">
        <f t="shared" si="136"/>
        <v>3.0066592756745818</v>
      </c>
      <c r="T469" s="6">
        <f t="shared" si="137"/>
        <v>75.166481891864549</v>
      </c>
      <c r="U469" s="6">
        <f t="shared" si="138"/>
        <v>18.791620472966134</v>
      </c>
      <c r="V469" s="6">
        <f t="shared" si="139"/>
        <v>93.95810236483068</v>
      </c>
      <c r="W469">
        <v>45</v>
      </c>
      <c r="X469" t="str">
        <f t="shared" si="140"/>
        <v>OK</v>
      </c>
      <c r="Y469" s="6">
        <f t="shared" si="141"/>
        <v>27</v>
      </c>
      <c r="Z469" s="6">
        <f t="shared" si="142"/>
        <v>0</v>
      </c>
    </row>
    <row r="470" spans="1:26" x14ac:dyDescent="0.3">
      <c r="A470" s="3" t="str">
        <f t="shared" si="126"/>
        <v>SKU469</v>
      </c>
      <c r="B470" s="3">
        <v>660</v>
      </c>
      <c r="C470" s="3">
        <f t="shared" si="128"/>
        <v>858</v>
      </c>
      <c r="D470" s="3">
        <v>10.98</v>
      </c>
      <c r="E470" s="3">
        <v>2</v>
      </c>
      <c r="F470" s="3" t="str" cm="1">
        <f t="array" aca="1" ref="F470" ca="1">INDEX({"Electronics","Clothing","Food","Furniture"}, RANDBETWEEN(1,4))</f>
        <v>Clothing</v>
      </c>
      <c r="G470" s="3">
        <v>50</v>
      </c>
      <c r="H470" s="3">
        <v>2</v>
      </c>
      <c r="I470" s="3">
        <f t="shared" si="127"/>
        <v>7246.8</v>
      </c>
      <c r="J470" s="3">
        <f t="shared" si="143"/>
        <v>29010645.900000017</v>
      </c>
      <c r="K470" s="4">
        <f t="shared" si="129"/>
        <v>0.99542416034767933</v>
      </c>
      <c r="M470" s="6">
        <f t="shared" si="130"/>
        <v>181.65902124584949</v>
      </c>
      <c r="N470" s="6">
        <f t="shared" si="131"/>
        <v>207.12315177207978</v>
      </c>
      <c r="O470" s="6">
        <f t="shared" si="132"/>
        <v>1.8082191780821917</v>
      </c>
      <c r="P470" s="6">
        <f t="shared" si="133"/>
        <v>3.6164383561643834</v>
      </c>
      <c r="Q470" t="str">
        <f t="shared" si="134"/>
        <v>C</v>
      </c>
      <c r="R470" s="6">
        <f t="shared" si="135"/>
        <v>90.829510622924744</v>
      </c>
      <c r="S470" s="6">
        <f t="shared" si="136"/>
        <v>7.2663608498339807</v>
      </c>
      <c r="T470" s="6">
        <f t="shared" si="137"/>
        <v>181.65902124584952</v>
      </c>
      <c r="U470" s="6">
        <f t="shared" si="138"/>
        <v>45.414755311462372</v>
      </c>
      <c r="V470" s="6">
        <f t="shared" si="139"/>
        <v>227.07377655731187</v>
      </c>
      <c r="W470">
        <v>0</v>
      </c>
      <c r="X470" t="str">
        <f t="shared" si="140"/>
        <v>ALERT</v>
      </c>
      <c r="Y470" s="6">
        <f t="shared" si="141"/>
        <v>7</v>
      </c>
      <c r="Z470" s="6">
        <f t="shared" si="142"/>
        <v>14</v>
      </c>
    </row>
    <row r="471" spans="1:26" x14ac:dyDescent="0.3">
      <c r="A471" s="3" t="str">
        <f t="shared" si="126"/>
        <v>SKU470</v>
      </c>
      <c r="B471" s="3">
        <v>199</v>
      </c>
      <c r="C471" s="3">
        <f t="shared" si="128"/>
        <v>258.7</v>
      </c>
      <c r="D471" s="3">
        <v>35.96</v>
      </c>
      <c r="E471" s="3">
        <v>28</v>
      </c>
      <c r="F471" s="3" t="str" cm="1">
        <f t="array" aca="1" ref="F471" ca="1">INDEX({"Electronics","Clothing","Food","Furniture"}, RANDBETWEEN(1,4))</f>
        <v>Food</v>
      </c>
      <c r="G471" s="3">
        <v>50</v>
      </c>
      <c r="H471" s="3">
        <v>2</v>
      </c>
      <c r="I471" s="3">
        <f t="shared" si="127"/>
        <v>7156.04</v>
      </c>
      <c r="J471" s="3">
        <f t="shared" si="143"/>
        <v>29017801.940000016</v>
      </c>
      <c r="K471" s="4">
        <f t="shared" si="129"/>
        <v>0.99566970107548547</v>
      </c>
      <c r="M471" s="6">
        <f t="shared" si="130"/>
        <v>99.749686716300019</v>
      </c>
      <c r="N471" s="6">
        <f t="shared" si="131"/>
        <v>113.7321414552632</v>
      </c>
      <c r="O471" s="6">
        <f t="shared" si="132"/>
        <v>0.54520547945205478</v>
      </c>
      <c r="P471" s="6">
        <f t="shared" si="133"/>
        <v>15.265753424657534</v>
      </c>
      <c r="Q471" t="str">
        <f t="shared" si="134"/>
        <v>C</v>
      </c>
      <c r="R471" s="6">
        <f t="shared" si="135"/>
        <v>49.874843358150009</v>
      </c>
      <c r="S471" s="6">
        <f t="shared" si="136"/>
        <v>3.9899874686520005</v>
      </c>
      <c r="T471" s="6">
        <f t="shared" si="137"/>
        <v>99.749686716300019</v>
      </c>
      <c r="U471" s="6">
        <f t="shared" si="138"/>
        <v>24.937421679075005</v>
      </c>
      <c r="V471" s="6">
        <f t="shared" si="139"/>
        <v>124.68710839537502</v>
      </c>
      <c r="W471">
        <v>21</v>
      </c>
      <c r="X471" t="str">
        <f t="shared" si="140"/>
        <v>OK</v>
      </c>
      <c r="Y471" s="6">
        <f t="shared" si="141"/>
        <v>33</v>
      </c>
      <c r="Z471" s="6">
        <f t="shared" si="142"/>
        <v>33</v>
      </c>
    </row>
    <row r="472" spans="1:26" x14ac:dyDescent="0.3">
      <c r="A472" s="3" t="str">
        <f t="shared" si="126"/>
        <v>SKU471</v>
      </c>
      <c r="B472" s="3">
        <v>470</v>
      </c>
      <c r="C472" s="3">
        <f t="shared" si="128"/>
        <v>611</v>
      </c>
      <c r="D472" s="3">
        <v>14.6</v>
      </c>
      <c r="E472" s="3">
        <v>6</v>
      </c>
      <c r="F472" s="3" t="str" cm="1">
        <f t="array" aca="1" ref="F472" ca="1">INDEX({"Electronics","Clothing","Food","Furniture"}, RANDBETWEEN(1,4))</f>
        <v>Food</v>
      </c>
      <c r="G472" s="3">
        <v>50</v>
      </c>
      <c r="H472" s="3">
        <v>2</v>
      </c>
      <c r="I472" s="3">
        <f t="shared" si="127"/>
        <v>6862</v>
      </c>
      <c r="J472" s="3">
        <f t="shared" si="143"/>
        <v>29024663.940000016</v>
      </c>
      <c r="K472" s="4">
        <f t="shared" si="129"/>
        <v>0.99590515259255441</v>
      </c>
      <c r="M472" s="6">
        <f t="shared" si="130"/>
        <v>153.29709716755892</v>
      </c>
      <c r="N472" s="6">
        <f t="shared" si="131"/>
        <v>174.78558292948534</v>
      </c>
      <c r="O472" s="6">
        <f t="shared" si="132"/>
        <v>1.2876712328767124</v>
      </c>
      <c r="P472" s="6">
        <f t="shared" si="133"/>
        <v>7.7260273972602747</v>
      </c>
      <c r="Q472" t="str">
        <f t="shared" si="134"/>
        <v>C</v>
      </c>
      <c r="R472" s="6">
        <f t="shared" si="135"/>
        <v>76.648548583779458</v>
      </c>
      <c r="S472" s="6">
        <f t="shared" si="136"/>
        <v>6.1318838867023571</v>
      </c>
      <c r="T472" s="6">
        <f t="shared" si="137"/>
        <v>153.29709716755892</v>
      </c>
      <c r="U472" s="6">
        <f t="shared" si="138"/>
        <v>38.324274291889729</v>
      </c>
      <c r="V472" s="6">
        <f t="shared" si="139"/>
        <v>191.62137145944865</v>
      </c>
      <c r="W472">
        <v>44</v>
      </c>
      <c r="X472" t="str">
        <f t="shared" si="140"/>
        <v>OK</v>
      </c>
      <c r="Y472" s="6">
        <f t="shared" si="141"/>
        <v>11</v>
      </c>
      <c r="Z472" s="6">
        <f t="shared" si="142"/>
        <v>11</v>
      </c>
    </row>
    <row r="473" spans="1:26" x14ac:dyDescent="0.3">
      <c r="A473" s="3" t="str">
        <f t="shared" si="126"/>
        <v>SKU472</v>
      </c>
      <c r="B473" s="3">
        <v>339</v>
      </c>
      <c r="C473" s="3">
        <f t="shared" si="128"/>
        <v>440.7</v>
      </c>
      <c r="D473" s="3">
        <v>19.920000000000002</v>
      </c>
      <c r="E473" s="3">
        <v>30</v>
      </c>
      <c r="F473" s="3" t="str" cm="1">
        <f t="array" aca="1" ref="F473" ca="1">INDEX({"Electronics","Clothing","Food","Furniture"}, RANDBETWEEN(1,4))</f>
        <v>Clothing</v>
      </c>
      <c r="G473" s="3">
        <v>50</v>
      </c>
      <c r="H473" s="3">
        <v>2</v>
      </c>
      <c r="I473" s="3">
        <f t="shared" si="127"/>
        <v>6752.880000000001</v>
      </c>
      <c r="J473" s="3">
        <f t="shared" si="143"/>
        <v>29031416.820000015</v>
      </c>
      <c r="K473" s="4">
        <f t="shared" si="129"/>
        <v>0.99613685994326628</v>
      </c>
      <c r="M473" s="6">
        <f t="shared" si="130"/>
        <v>130.19216566291536</v>
      </c>
      <c r="N473" s="6">
        <f t="shared" si="131"/>
        <v>148.44190782929192</v>
      </c>
      <c r="O473" s="6">
        <f t="shared" si="132"/>
        <v>0.92876712328767119</v>
      </c>
      <c r="P473" s="6">
        <f t="shared" si="133"/>
        <v>27.863013698630137</v>
      </c>
      <c r="Q473" t="str">
        <f t="shared" si="134"/>
        <v>C</v>
      </c>
      <c r="R473" s="6">
        <f t="shared" si="135"/>
        <v>65.096082831457679</v>
      </c>
      <c r="S473" s="6">
        <f t="shared" si="136"/>
        <v>5.2076866265166153</v>
      </c>
      <c r="T473" s="6">
        <f t="shared" si="137"/>
        <v>130.19216566291539</v>
      </c>
      <c r="U473" s="6">
        <f t="shared" si="138"/>
        <v>32.548041415728839</v>
      </c>
      <c r="V473" s="6">
        <f t="shared" si="139"/>
        <v>162.74020707864423</v>
      </c>
      <c r="W473">
        <v>23</v>
      </c>
      <c r="X473" t="str">
        <f t="shared" si="140"/>
        <v>ALERT</v>
      </c>
      <c r="Y473" s="6">
        <f t="shared" si="141"/>
        <v>35</v>
      </c>
      <c r="Z473" s="6">
        <f t="shared" si="142"/>
        <v>35</v>
      </c>
    </row>
    <row r="474" spans="1:26" x14ac:dyDescent="0.3">
      <c r="A474" s="3" t="str">
        <f t="shared" si="126"/>
        <v>SKU473</v>
      </c>
      <c r="B474" s="3">
        <v>967</v>
      </c>
      <c r="C474" s="3">
        <f t="shared" si="128"/>
        <v>1257.1000000000001</v>
      </c>
      <c r="D474" s="3">
        <v>6.62</v>
      </c>
      <c r="E474" s="3">
        <v>23</v>
      </c>
      <c r="F474" s="3" t="str" cm="1">
        <f t="array" aca="1" ref="F474" ca="1">INDEX({"Electronics","Clothing","Food","Furniture"}, RANDBETWEEN(1,4))</f>
        <v>Food</v>
      </c>
      <c r="G474" s="3">
        <v>50</v>
      </c>
      <c r="H474" s="3">
        <v>2</v>
      </c>
      <c r="I474" s="3">
        <f t="shared" si="127"/>
        <v>6401.54</v>
      </c>
      <c r="J474" s="3">
        <f t="shared" si="143"/>
        <v>29037818.360000014</v>
      </c>
      <c r="K474" s="4">
        <f t="shared" si="129"/>
        <v>0.99635651198415487</v>
      </c>
      <c r="M474" s="6">
        <f t="shared" si="130"/>
        <v>219.88633427296023</v>
      </c>
      <c r="N474" s="6">
        <f t="shared" si="131"/>
        <v>250.70899465316359</v>
      </c>
      <c r="O474" s="6">
        <f t="shared" si="132"/>
        <v>2.6493150684931508</v>
      </c>
      <c r="P474" s="6">
        <f t="shared" si="133"/>
        <v>60.93424657534247</v>
      </c>
      <c r="Q474" t="str">
        <f t="shared" si="134"/>
        <v>C</v>
      </c>
      <c r="R474" s="6">
        <f t="shared" si="135"/>
        <v>109.94316713648011</v>
      </c>
      <c r="S474" s="6">
        <f t="shared" si="136"/>
        <v>8.7954533709184091</v>
      </c>
      <c r="T474" s="6">
        <f t="shared" si="137"/>
        <v>219.88633427296023</v>
      </c>
      <c r="U474" s="6">
        <f t="shared" si="138"/>
        <v>54.971583568240057</v>
      </c>
      <c r="V474" s="6">
        <f t="shared" si="139"/>
        <v>274.85791784120028</v>
      </c>
      <c r="W474">
        <v>45</v>
      </c>
      <c r="X474" t="str">
        <f t="shared" si="140"/>
        <v>ALERT</v>
      </c>
      <c r="Y474" s="6">
        <f t="shared" si="141"/>
        <v>28</v>
      </c>
      <c r="Z474" s="6">
        <f t="shared" si="142"/>
        <v>84</v>
      </c>
    </row>
    <row r="475" spans="1:26" x14ac:dyDescent="0.3">
      <c r="A475" s="3" t="str">
        <f t="shared" si="126"/>
        <v>SKU474</v>
      </c>
      <c r="B475" s="3">
        <v>218</v>
      </c>
      <c r="C475" s="3">
        <f t="shared" si="128"/>
        <v>283.40000000000003</v>
      </c>
      <c r="D475" s="3">
        <v>29.36</v>
      </c>
      <c r="E475" s="3">
        <v>28</v>
      </c>
      <c r="F475" s="3" t="str" cm="1">
        <f t="array" aca="1" ref="F475" ca="1">INDEX({"Electronics","Clothing","Food","Furniture"}, RANDBETWEEN(1,4))</f>
        <v>Electronics</v>
      </c>
      <c r="G475" s="3">
        <v>50</v>
      </c>
      <c r="H475" s="3">
        <v>2</v>
      </c>
      <c r="I475" s="3">
        <f t="shared" si="127"/>
        <v>6400.48</v>
      </c>
      <c r="J475" s="3">
        <f t="shared" si="143"/>
        <v>29044218.840000015</v>
      </c>
      <c r="K475" s="4">
        <f t="shared" si="129"/>
        <v>0.996576127653926</v>
      </c>
      <c r="M475" s="6">
        <f t="shared" si="130"/>
        <v>104.4030650891055</v>
      </c>
      <c r="N475" s="6">
        <f t="shared" si="131"/>
        <v>119.03780911962384</v>
      </c>
      <c r="O475" s="6">
        <f t="shared" si="132"/>
        <v>0.59726027397260273</v>
      </c>
      <c r="P475" s="6">
        <f t="shared" si="133"/>
        <v>16.723287671232875</v>
      </c>
      <c r="Q475" t="str">
        <f t="shared" si="134"/>
        <v>C</v>
      </c>
      <c r="R475" s="6">
        <f t="shared" si="135"/>
        <v>52.201532544552748</v>
      </c>
      <c r="S475" s="6">
        <f t="shared" si="136"/>
        <v>4.1761226035642203</v>
      </c>
      <c r="T475" s="6">
        <f t="shared" si="137"/>
        <v>104.40306508910551</v>
      </c>
      <c r="U475" s="6">
        <f t="shared" si="138"/>
        <v>26.100766272276374</v>
      </c>
      <c r="V475" s="6">
        <f t="shared" si="139"/>
        <v>130.50383136138188</v>
      </c>
      <c r="W475">
        <v>7</v>
      </c>
      <c r="X475" t="str">
        <f t="shared" si="140"/>
        <v>ALERT</v>
      </c>
      <c r="Y475" s="6">
        <f t="shared" si="141"/>
        <v>33</v>
      </c>
      <c r="Z475" s="6">
        <f t="shared" si="142"/>
        <v>33</v>
      </c>
    </row>
    <row r="476" spans="1:26" x14ac:dyDescent="0.3">
      <c r="A476" s="3" t="str">
        <f t="shared" si="126"/>
        <v>SKU475</v>
      </c>
      <c r="B476" s="3">
        <v>1156</v>
      </c>
      <c r="C476" s="3">
        <f t="shared" si="128"/>
        <v>1502.8</v>
      </c>
      <c r="D476" s="3">
        <v>5.42</v>
      </c>
      <c r="E476" s="3">
        <v>1</v>
      </c>
      <c r="F476" s="3" t="str" cm="1">
        <f t="array" aca="1" ref="F476" ca="1">INDEX({"Electronics","Clothing","Food","Furniture"}, RANDBETWEEN(1,4))</f>
        <v>Electronics</v>
      </c>
      <c r="G476" s="3">
        <v>50</v>
      </c>
      <c r="H476" s="3">
        <v>2</v>
      </c>
      <c r="I476" s="3">
        <f t="shared" si="127"/>
        <v>6265.5199999999995</v>
      </c>
      <c r="J476" s="3">
        <f t="shared" si="143"/>
        <v>29050484.360000014</v>
      </c>
      <c r="K476" s="4">
        <f t="shared" si="129"/>
        <v>0.99679111252557073</v>
      </c>
      <c r="M476" s="6">
        <f t="shared" si="130"/>
        <v>240.41630560342617</v>
      </c>
      <c r="N476" s="6">
        <f t="shared" si="131"/>
        <v>274.11676344215067</v>
      </c>
      <c r="O476" s="6">
        <f t="shared" si="132"/>
        <v>3.1671232876712327</v>
      </c>
      <c r="P476" s="6">
        <f t="shared" si="133"/>
        <v>3.1671232876712327</v>
      </c>
      <c r="Q476" t="str">
        <f t="shared" si="134"/>
        <v>C</v>
      </c>
      <c r="R476" s="6">
        <f t="shared" si="135"/>
        <v>120.20815280171308</v>
      </c>
      <c r="S476" s="6">
        <f t="shared" si="136"/>
        <v>9.6166522241370451</v>
      </c>
      <c r="T476" s="6">
        <f t="shared" si="137"/>
        <v>240.41630560342614</v>
      </c>
      <c r="U476" s="6">
        <f t="shared" si="138"/>
        <v>60.104076400856542</v>
      </c>
      <c r="V476" s="6">
        <f t="shared" si="139"/>
        <v>300.52038200428268</v>
      </c>
      <c r="W476">
        <v>1</v>
      </c>
      <c r="X476" t="str">
        <f t="shared" si="140"/>
        <v>ALERT</v>
      </c>
      <c r="Y476" s="6">
        <f t="shared" si="141"/>
        <v>6</v>
      </c>
      <c r="Z476" s="6">
        <f t="shared" si="142"/>
        <v>18</v>
      </c>
    </row>
    <row r="477" spans="1:26" x14ac:dyDescent="0.3">
      <c r="A477" s="3" t="str">
        <f t="shared" si="126"/>
        <v>SKU476</v>
      </c>
      <c r="B477" s="3">
        <v>876</v>
      </c>
      <c r="C477" s="3">
        <f t="shared" si="128"/>
        <v>1138.8</v>
      </c>
      <c r="D477" s="3">
        <v>7.15</v>
      </c>
      <c r="E477" s="3">
        <v>19</v>
      </c>
      <c r="F477" s="3" t="str" cm="1">
        <f t="array" aca="1" ref="F477" ca="1">INDEX({"Electronics","Clothing","Food","Furniture"}, RANDBETWEEN(1,4))</f>
        <v>Electronics</v>
      </c>
      <c r="G477" s="3">
        <v>50</v>
      </c>
      <c r="H477" s="3">
        <v>2</v>
      </c>
      <c r="I477" s="3">
        <f t="shared" si="127"/>
        <v>6263.4000000000005</v>
      </c>
      <c r="J477" s="3">
        <f t="shared" si="143"/>
        <v>29056747.760000013</v>
      </c>
      <c r="K477" s="4">
        <f t="shared" si="129"/>
        <v>0.99700602465498045</v>
      </c>
      <c r="M477" s="6">
        <f t="shared" si="130"/>
        <v>209.2844953645635</v>
      </c>
      <c r="N477" s="6">
        <f t="shared" si="131"/>
        <v>238.62103846894976</v>
      </c>
      <c r="O477" s="6">
        <f t="shared" si="132"/>
        <v>2.4</v>
      </c>
      <c r="P477" s="6">
        <f t="shared" si="133"/>
        <v>45.6</v>
      </c>
      <c r="Q477" t="str">
        <f t="shared" si="134"/>
        <v>C</v>
      </c>
      <c r="R477" s="6">
        <f t="shared" si="135"/>
        <v>104.64224768228175</v>
      </c>
      <c r="S477" s="6">
        <f t="shared" si="136"/>
        <v>8.3713798145825393</v>
      </c>
      <c r="T477" s="6">
        <f t="shared" si="137"/>
        <v>209.2844953645635</v>
      </c>
      <c r="U477" s="6">
        <f t="shared" si="138"/>
        <v>52.321123841140874</v>
      </c>
      <c r="V477" s="6">
        <f t="shared" si="139"/>
        <v>261.60561920570439</v>
      </c>
      <c r="W477">
        <v>84</v>
      </c>
      <c r="X477" t="str">
        <f t="shared" si="140"/>
        <v>OK</v>
      </c>
      <c r="Y477" s="6">
        <f t="shared" si="141"/>
        <v>24</v>
      </c>
      <c r="Z477" s="6">
        <f t="shared" si="142"/>
        <v>48</v>
      </c>
    </row>
    <row r="478" spans="1:26" x14ac:dyDescent="0.3">
      <c r="A478" s="3" t="str">
        <f t="shared" si="126"/>
        <v>SKU477</v>
      </c>
      <c r="B478" s="3">
        <v>142</v>
      </c>
      <c r="C478" s="3">
        <f t="shared" si="128"/>
        <v>184.6</v>
      </c>
      <c r="D478" s="3">
        <v>43.54</v>
      </c>
      <c r="E478" s="3">
        <v>9</v>
      </c>
      <c r="F478" s="3" t="str" cm="1">
        <f t="array" aca="1" ref="F478" ca="1">INDEX({"Electronics","Clothing","Food","Furniture"}, RANDBETWEEN(1,4))</f>
        <v>Furniture</v>
      </c>
      <c r="G478" s="3">
        <v>50</v>
      </c>
      <c r="H478" s="3">
        <v>2</v>
      </c>
      <c r="I478" s="3">
        <f t="shared" si="127"/>
        <v>6182.68</v>
      </c>
      <c r="J478" s="3">
        <f t="shared" si="143"/>
        <v>29062930.440000013</v>
      </c>
      <c r="K478" s="4">
        <f t="shared" si="129"/>
        <v>0.9972181670894823</v>
      </c>
      <c r="M478" s="6">
        <f t="shared" si="130"/>
        <v>84.261497731763583</v>
      </c>
      <c r="N478" s="6">
        <f t="shared" si="131"/>
        <v>96.072888995803595</v>
      </c>
      <c r="O478" s="6">
        <f t="shared" si="132"/>
        <v>0.38904109589041097</v>
      </c>
      <c r="P478" s="6">
        <f t="shared" si="133"/>
        <v>3.5013698630136987</v>
      </c>
      <c r="Q478" t="str">
        <f t="shared" si="134"/>
        <v>C</v>
      </c>
      <c r="R478" s="6">
        <f t="shared" si="135"/>
        <v>42.130748865881792</v>
      </c>
      <c r="S478" s="6">
        <f t="shared" si="136"/>
        <v>3.3704599092705436</v>
      </c>
      <c r="T478" s="6">
        <f t="shared" si="137"/>
        <v>84.261497731763598</v>
      </c>
      <c r="U478" s="6">
        <f t="shared" si="138"/>
        <v>21.065374432940896</v>
      </c>
      <c r="V478" s="6">
        <f t="shared" si="139"/>
        <v>105.3268721647045</v>
      </c>
      <c r="W478">
        <v>10</v>
      </c>
      <c r="X478" t="str">
        <f t="shared" si="140"/>
        <v>OK</v>
      </c>
      <c r="Y478" s="6">
        <f t="shared" si="141"/>
        <v>14</v>
      </c>
      <c r="Z478" s="6">
        <f t="shared" si="142"/>
        <v>0</v>
      </c>
    </row>
    <row r="479" spans="1:26" x14ac:dyDescent="0.3">
      <c r="A479" s="3" t="str">
        <f t="shared" si="126"/>
        <v>SKU478</v>
      </c>
      <c r="B479" s="3">
        <v>316</v>
      </c>
      <c r="C479" s="3">
        <f t="shared" si="128"/>
        <v>410.8</v>
      </c>
      <c r="D479" s="3">
        <v>18.61</v>
      </c>
      <c r="E479" s="3">
        <v>30</v>
      </c>
      <c r="F479" s="3" t="str" cm="1">
        <f t="array" aca="1" ref="F479" ca="1">INDEX({"Electronics","Clothing","Food","Furniture"}, RANDBETWEEN(1,4))</f>
        <v>Clothing</v>
      </c>
      <c r="G479" s="3">
        <v>50</v>
      </c>
      <c r="H479" s="3">
        <v>2</v>
      </c>
      <c r="I479" s="3">
        <f t="shared" si="127"/>
        <v>5880.76</v>
      </c>
      <c r="J479" s="3">
        <f t="shared" si="143"/>
        <v>29068811.200000014</v>
      </c>
      <c r="K479" s="4">
        <f t="shared" si="129"/>
        <v>0.99741994993173222</v>
      </c>
      <c r="M479" s="6">
        <f t="shared" si="130"/>
        <v>125.69805089976535</v>
      </c>
      <c r="N479" s="6">
        <f t="shared" si="131"/>
        <v>143.31782861877304</v>
      </c>
      <c r="O479" s="6">
        <f t="shared" si="132"/>
        <v>0.86575342465753424</v>
      </c>
      <c r="P479" s="6">
        <f t="shared" si="133"/>
        <v>25.972602739726028</v>
      </c>
      <c r="Q479" t="str">
        <f t="shared" si="134"/>
        <v>C</v>
      </c>
      <c r="R479" s="6">
        <f t="shared" si="135"/>
        <v>62.849025449882674</v>
      </c>
      <c r="S479" s="6">
        <f t="shared" si="136"/>
        <v>5.0279220359906134</v>
      </c>
      <c r="T479" s="6">
        <f t="shared" si="137"/>
        <v>125.69805089976533</v>
      </c>
      <c r="U479" s="6">
        <f t="shared" si="138"/>
        <v>31.424512724941337</v>
      </c>
      <c r="V479" s="6">
        <f t="shared" si="139"/>
        <v>157.12256362470669</v>
      </c>
      <c r="W479">
        <v>54</v>
      </c>
      <c r="X479" t="str">
        <f t="shared" si="140"/>
        <v>OK</v>
      </c>
      <c r="Y479" s="6">
        <f t="shared" si="141"/>
        <v>35</v>
      </c>
      <c r="Z479" s="6">
        <f t="shared" si="142"/>
        <v>35</v>
      </c>
    </row>
    <row r="480" spans="1:26" x14ac:dyDescent="0.3">
      <c r="A480" s="3" t="str">
        <f t="shared" si="126"/>
        <v>SKU479</v>
      </c>
      <c r="B480" s="3">
        <v>332</v>
      </c>
      <c r="C480" s="3">
        <f t="shared" si="128"/>
        <v>431.6</v>
      </c>
      <c r="D480" s="3">
        <v>17.5</v>
      </c>
      <c r="E480" s="3">
        <v>3</v>
      </c>
      <c r="F480" s="3" t="str" cm="1">
        <f t="array" aca="1" ref="F480" ca="1">INDEX({"Electronics","Clothing","Food","Furniture"}, RANDBETWEEN(1,4))</f>
        <v>Clothing</v>
      </c>
      <c r="G480" s="3">
        <v>50</v>
      </c>
      <c r="H480" s="3">
        <v>2</v>
      </c>
      <c r="I480" s="3">
        <f t="shared" si="127"/>
        <v>5810</v>
      </c>
      <c r="J480" s="3">
        <f t="shared" si="143"/>
        <v>29074621.200000014</v>
      </c>
      <c r="K480" s="4">
        <f t="shared" si="129"/>
        <v>0.9976193048303289</v>
      </c>
      <c r="M480" s="6">
        <f t="shared" si="130"/>
        <v>128.84098726725125</v>
      </c>
      <c r="N480" s="6">
        <f t="shared" si="131"/>
        <v>146.90132742763083</v>
      </c>
      <c r="O480" s="6">
        <f t="shared" si="132"/>
        <v>0.90958904109589045</v>
      </c>
      <c r="P480" s="6">
        <f t="shared" si="133"/>
        <v>2.7287671232876711</v>
      </c>
      <c r="Q480" t="str">
        <f t="shared" si="134"/>
        <v>C</v>
      </c>
      <c r="R480" s="6">
        <f t="shared" si="135"/>
        <v>64.420493633625625</v>
      </c>
      <c r="S480" s="6">
        <f t="shared" si="136"/>
        <v>5.1536394906900505</v>
      </c>
      <c r="T480" s="6">
        <f t="shared" si="137"/>
        <v>128.84098726725125</v>
      </c>
      <c r="U480" s="6">
        <f t="shared" si="138"/>
        <v>32.210246816812813</v>
      </c>
      <c r="V480" s="6">
        <f t="shared" si="139"/>
        <v>161.05123408406405</v>
      </c>
      <c r="W480">
        <v>40</v>
      </c>
      <c r="X480" t="str">
        <f t="shared" si="140"/>
        <v>OK</v>
      </c>
      <c r="Y480" s="6">
        <f t="shared" si="141"/>
        <v>8</v>
      </c>
      <c r="Z480" s="6">
        <f t="shared" si="142"/>
        <v>8</v>
      </c>
    </row>
    <row r="481" spans="1:26" x14ac:dyDescent="0.3">
      <c r="A481" s="3" t="str">
        <f t="shared" si="126"/>
        <v>SKU480</v>
      </c>
      <c r="B481" s="3">
        <v>472</v>
      </c>
      <c r="C481" s="3">
        <f t="shared" si="128"/>
        <v>613.6</v>
      </c>
      <c r="D481" s="3">
        <v>12.05</v>
      </c>
      <c r="E481" s="3">
        <v>3</v>
      </c>
      <c r="F481" s="3" t="str" cm="1">
        <f t="array" aca="1" ref="F481" ca="1">INDEX({"Electronics","Clothing","Food","Furniture"}, RANDBETWEEN(1,4))</f>
        <v>Furniture</v>
      </c>
      <c r="G481" s="3">
        <v>50</v>
      </c>
      <c r="H481" s="3">
        <v>2</v>
      </c>
      <c r="I481" s="3">
        <f t="shared" si="127"/>
        <v>5687.6</v>
      </c>
      <c r="J481" s="3">
        <f t="shared" si="143"/>
        <v>29080308.800000016</v>
      </c>
      <c r="K481" s="4">
        <f t="shared" si="129"/>
        <v>0.99781445989422901</v>
      </c>
      <c r="M481" s="6">
        <f t="shared" si="130"/>
        <v>153.62291495737216</v>
      </c>
      <c r="N481" s="6">
        <f t="shared" si="131"/>
        <v>175.15707236649052</v>
      </c>
      <c r="O481" s="6">
        <f t="shared" si="132"/>
        <v>1.2931506849315069</v>
      </c>
      <c r="P481" s="6">
        <f t="shared" si="133"/>
        <v>3.8794520547945206</v>
      </c>
      <c r="Q481" t="str">
        <f t="shared" si="134"/>
        <v>C</v>
      </c>
      <c r="R481" s="6">
        <f t="shared" si="135"/>
        <v>76.81145747868608</v>
      </c>
      <c r="S481" s="6">
        <f t="shared" si="136"/>
        <v>6.1449165982948868</v>
      </c>
      <c r="T481" s="6">
        <f t="shared" si="137"/>
        <v>153.62291495737216</v>
      </c>
      <c r="U481" s="6">
        <f t="shared" si="138"/>
        <v>38.40572873934304</v>
      </c>
      <c r="V481" s="6">
        <f t="shared" si="139"/>
        <v>192.02864369671519</v>
      </c>
      <c r="W481">
        <v>4</v>
      </c>
      <c r="X481" t="str">
        <f t="shared" si="140"/>
        <v>OK</v>
      </c>
      <c r="Y481" s="6">
        <f t="shared" si="141"/>
        <v>8</v>
      </c>
      <c r="Z481" s="6">
        <f t="shared" si="142"/>
        <v>8</v>
      </c>
    </row>
    <row r="482" spans="1:26" x14ac:dyDescent="0.3">
      <c r="A482" s="3" t="str">
        <f t="shared" si="126"/>
        <v>SKU481</v>
      </c>
      <c r="B482" s="3">
        <v>282</v>
      </c>
      <c r="C482" s="3">
        <f t="shared" si="128"/>
        <v>366.6</v>
      </c>
      <c r="D482" s="3">
        <v>20.02</v>
      </c>
      <c r="E482" s="3">
        <v>21</v>
      </c>
      <c r="F482" s="3" t="str" cm="1">
        <f t="array" aca="1" ref="F482" ca="1">INDEX({"Electronics","Clothing","Food","Furniture"}, RANDBETWEEN(1,4))</f>
        <v>Furniture</v>
      </c>
      <c r="G482" s="3">
        <v>50</v>
      </c>
      <c r="H482" s="3">
        <v>2</v>
      </c>
      <c r="I482" s="3">
        <f t="shared" si="127"/>
        <v>5645.64</v>
      </c>
      <c r="J482" s="3">
        <f t="shared" si="143"/>
        <v>29085954.440000016</v>
      </c>
      <c r="K482" s="4">
        <f t="shared" si="129"/>
        <v>0.99800817521087504</v>
      </c>
      <c r="M482" s="6">
        <f t="shared" si="130"/>
        <v>118.74342087037917</v>
      </c>
      <c r="N482" s="6">
        <f t="shared" si="131"/>
        <v>135.38833036861041</v>
      </c>
      <c r="O482" s="6">
        <f t="shared" si="132"/>
        <v>0.77260273972602744</v>
      </c>
      <c r="P482" s="6">
        <f t="shared" si="133"/>
        <v>16.224657534246575</v>
      </c>
      <c r="Q482" t="str">
        <f t="shared" si="134"/>
        <v>C</v>
      </c>
      <c r="R482" s="6">
        <f t="shared" si="135"/>
        <v>59.371710435189584</v>
      </c>
      <c r="S482" s="6">
        <f t="shared" si="136"/>
        <v>4.7497368348151667</v>
      </c>
      <c r="T482" s="6">
        <f t="shared" si="137"/>
        <v>118.74342087037917</v>
      </c>
      <c r="U482" s="6">
        <f t="shared" si="138"/>
        <v>29.685855217594792</v>
      </c>
      <c r="V482" s="6">
        <f t="shared" si="139"/>
        <v>148.42927608797396</v>
      </c>
      <c r="W482">
        <v>5</v>
      </c>
      <c r="X482" t="str">
        <f t="shared" si="140"/>
        <v>ALERT</v>
      </c>
      <c r="Y482" s="6">
        <f t="shared" si="141"/>
        <v>26</v>
      </c>
      <c r="Z482" s="6">
        <f t="shared" si="142"/>
        <v>26</v>
      </c>
    </row>
    <row r="483" spans="1:26" x14ac:dyDescent="0.3">
      <c r="A483" s="3" t="str">
        <f t="shared" si="126"/>
        <v>SKU482</v>
      </c>
      <c r="B483" s="3">
        <v>559</v>
      </c>
      <c r="C483" s="3">
        <f t="shared" si="128"/>
        <v>726.7</v>
      </c>
      <c r="D483" s="3">
        <v>9.68</v>
      </c>
      <c r="E483" s="3">
        <v>18</v>
      </c>
      <c r="F483" s="3" t="str" cm="1">
        <f t="array" aca="1" ref="F483" ca="1">INDEX({"Electronics","Clothing","Food","Furniture"}, RANDBETWEEN(1,4))</f>
        <v>Clothing</v>
      </c>
      <c r="G483" s="3">
        <v>50</v>
      </c>
      <c r="H483" s="3">
        <v>2</v>
      </c>
      <c r="I483" s="3">
        <f t="shared" si="127"/>
        <v>5411.12</v>
      </c>
      <c r="J483" s="3">
        <f t="shared" si="143"/>
        <v>29091365.560000017</v>
      </c>
      <c r="K483" s="4">
        <f t="shared" si="129"/>
        <v>0.99819384358934238</v>
      </c>
      <c r="M483" s="6">
        <f t="shared" si="130"/>
        <v>167.18253497300489</v>
      </c>
      <c r="N483" s="6">
        <f t="shared" si="131"/>
        <v>190.61741788199734</v>
      </c>
      <c r="O483" s="6">
        <f t="shared" si="132"/>
        <v>1.5315068493150685</v>
      </c>
      <c r="P483" s="6">
        <f t="shared" si="133"/>
        <v>27.567123287671233</v>
      </c>
      <c r="Q483" t="str">
        <f t="shared" si="134"/>
        <v>C</v>
      </c>
      <c r="R483" s="6">
        <f t="shared" si="135"/>
        <v>83.591267486502446</v>
      </c>
      <c r="S483" s="6">
        <f t="shared" si="136"/>
        <v>6.6873013989201944</v>
      </c>
      <c r="T483" s="6">
        <f t="shared" si="137"/>
        <v>167.18253497300486</v>
      </c>
      <c r="U483" s="6">
        <f t="shared" si="138"/>
        <v>41.795633743251223</v>
      </c>
      <c r="V483" s="6">
        <f t="shared" si="139"/>
        <v>208.97816871625608</v>
      </c>
      <c r="W483">
        <v>39</v>
      </c>
      <c r="X483" t="str">
        <f t="shared" si="140"/>
        <v>OK</v>
      </c>
      <c r="Y483" s="6">
        <f t="shared" si="141"/>
        <v>23</v>
      </c>
      <c r="Z483" s="6">
        <f t="shared" si="142"/>
        <v>46</v>
      </c>
    </row>
    <row r="484" spans="1:26" x14ac:dyDescent="0.3">
      <c r="A484" s="3" t="str">
        <f t="shared" si="126"/>
        <v>SKU483</v>
      </c>
      <c r="B484" s="3">
        <v>374</v>
      </c>
      <c r="C484" s="3">
        <f t="shared" si="128"/>
        <v>486.2</v>
      </c>
      <c r="D484" s="3">
        <v>14.08</v>
      </c>
      <c r="E484" s="3">
        <v>1</v>
      </c>
      <c r="F484" s="3" t="str" cm="1">
        <f t="array" aca="1" ref="F484" ca="1">INDEX({"Electronics","Clothing","Food","Furniture"}, RANDBETWEEN(1,4))</f>
        <v>Furniture</v>
      </c>
      <c r="G484" s="3">
        <v>50</v>
      </c>
      <c r="H484" s="3">
        <v>2</v>
      </c>
      <c r="I484" s="3">
        <f t="shared" si="127"/>
        <v>5265.92</v>
      </c>
      <c r="J484" s="3">
        <f t="shared" si="143"/>
        <v>29096631.480000019</v>
      </c>
      <c r="K484" s="4">
        <f t="shared" si="129"/>
        <v>0.99837452981096342</v>
      </c>
      <c r="M484" s="6">
        <f t="shared" si="130"/>
        <v>136.74794331177344</v>
      </c>
      <c r="N484" s="6">
        <f t="shared" si="131"/>
        <v>155.91664439693409</v>
      </c>
      <c r="O484" s="6">
        <f t="shared" si="132"/>
        <v>1.0246575342465754</v>
      </c>
      <c r="P484" s="6">
        <f t="shared" si="133"/>
        <v>1.0246575342465754</v>
      </c>
      <c r="Q484" t="str">
        <f t="shared" si="134"/>
        <v>C</v>
      </c>
      <c r="R484" s="6">
        <f t="shared" si="135"/>
        <v>68.37397165588672</v>
      </c>
      <c r="S484" s="6">
        <f t="shared" si="136"/>
        <v>5.4699177324709369</v>
      </c>
      <c r="T484" s="6">
        <f t="shared" si="137"/>
        <v>136.74794331177341</v>
      </c>
      <c r="U484" s="6">
        <f t="shared" si="138"/>
        <v>34.18698582794336</v>
      </c>
      <c r="V484" s="6">
        <f t="shared" si="139"/>
        <v>170.93492913971676</v>
      </c>
      <c r="W484">
        <v>48</v>
      </c>
      <c r="X484" t="str">
        <f t="shared" si="140"/>
        <v>OK</v>
      </c>
      <c r="Y484" s="6">
        <f t="shared" si="141"/>
        <v>6</v>
      </c>
      <c r="Z484" s="6">
        <f t="shared" si="142"/>
        <v>6</v>
      </c>
    </row>
    <row r="485" spans="1:26" x14ac:dyDescent="0.3">
      <c r="A485" s="3" t="str">
        <f t="shared" si="126"/>
        <v>SKU484</v>
      </c>
      <c r="B485" s="3">
        <v>977</v>
      </c>
      <c r="C485" s="3">
        <f t="shared" si="128"/>
        <v>1270.1000000000001</v>
      </c>
      <c r="D485" s="3">
        <v>5.34</v>
      </c>
      <c r="E485" s="3">
        <v>25</v>
      </c>
      <c r="F485" s="3" t="str" cm="1">
        <f t="array" aca="1" ref="F485" ca="1">INDEX({"Electronics","Clothing","Food","Furniture"}, RANDBETWEEN(1,4))</f>
        <v>Electronics</v>
      </c>
      <c r="G485" s="3">
        <v>50</v>
      </c>
      <c r="H485" s="3">
        <v>2</v>
      </c>
      <c r="I485" s="3">
        <f t="shared" si="127"/>
        <v>5217.18</v>
      </c>
      <c r="J485" s="3">
        <f t="shared" si="143"/>
        <v>29101848.660000019</v>
      </c>
      <c r="K485" s="4">
        <f t="shared" si="129"/>
        <v>0.99855354364742832</v>
      </c>
      <c r="M485" s="6">
        <f t="shared" si="130"/>
        <v>221.02036105300343</v>
      </c>
      <c r="N485" s="6">
        <f t="shared" si="131"/>
        <v>252.00198411917316</v>
      </c>
      <c r="O485" s="6">
        <f t="shared" si="132"/>
        <v>2.6767123287671235</v>
      </c>
      <c r="P485" s="6">
        <f t="shared" si="133"/>
        <v>66.917808219178085</v>
      </c>
      <c r="Q485" t="str">
        <f t="shared" si="134"/>
        <v>C</v>
      </c>
      <c r="R485" s="6">
        <f t="shared" si="135"/>
        <v>110.51018052650171</v>
      </c>
      <c r="S485" s="6">
        <f t="shared" si="136"/>
        <v>8.8408144421201378</v>
      </c>
      <c r="T485" s="6">
        <f t="shared" si="137"/>
        <v>221.02036105300346</v>
      </c>
      <c r="U485" s="6">
        <f t="shared" si="138"/>
        <v>55.255090263250857</v>
      </c>
      <c r="V485" s="6">
        <f t="shared" si="139"/>
        <v>276.2754513162543</v>
      </c>
      <c r="W485">
        <v>100</v>
      </c>
      <c r="X485" t="str">
        <f t="shared" si="140"/>
        <v>OK</v>
      </c>
      <c r="Y485" s="6">
        <f t="shared" si="141"/>
        <v>30</v>
      </c>
      <c r="Z485" s="6">
        <f t="shared" si="142"/>
        <v>90</v>
      </c>
    </row>
    <row r="486" spans="1:26" x14ac:dyDescent="0.3">
      <c r="A486" s="3" t="str">
        <f t="shared" si="126"/>
        <v>SKU485</v>
      </c>
      <c r="B486" s="3">
        <v>315</v>
      </c>
      <c r="C486" s="3">
        <f t="shared" si="128"/>
        <v>409.5</v>
      </c>
      <c r="D486" s="3">
        <v>15.89</v>
      </c>
      <c r="E486" s="3">
        <v>18</v>
      </c>
      <c r="F486" s="3" t="str" cm="1">
        <f t="array" aca="1" ref="F486" ca="1">INDEX({"Electronics","Clothing","Food","Furniture"}, RANDBETWEEN(1,4))</f>
        <v>Food</v>
      </c>
      <c r="G486" s="3">
        <v>50</v>
      </c>
      <c r="H486" s="3">
        <v>2</v>
      </c>
      <c r="I486" s="3">
        <f t="shared" si="127"/>
        <v>5005.3500000000004</v>
      </c>
      <c r="J486" s="3">
        <f t="shared" si="143"/>
        <v>29106854.01000002</v>
      </c>
      <c r="K486" s="4">
        <f t="shared" si="129"/>
        <v>0.99872528909350256</v>
      </c>
      <c r="M486" s="6">
        <f t="shared" si="130"/>
        <v>125.49900398011133</v>
      </c>
      <c r="N486" s="6">
        <f t="shared" si="131"/>
        <v>143.09088021254183</v>
      </c>
      <c r="O486" s="6">
        <f t="shared" si="132"/>
        <v>0.86301369863013699</v>
      </c>
      <c r="P486" s="6">
        <f t="shared" si="133"/>
        <v>15.534246575342467</v>
      </c>
      <c r="Q486" t="str">
        <f t="shared" si="134"/>
        <v>C</v>
      </c>
      <c r="R486" s="6">
        <f t="shared" si="135"/>
        <v>62.749501990055663</v>
      </c>
      <c r="S486" s="6">
        <f t="shared" si="136"/>
        <v>5.0199601592044534</v>
      </c>
      <c r="T486" s="6">
        <f t="shared" si="137"/>
        <v>125.49900398011134</v>
      </c>
      <c r="U486" s="6">
        <f t="shared" si="138"/>
        <v>31.374750995027831</v>
      </c>
      <c r="V486" s="6">
        <f t="shared" si="139"/>
        <v>156.87375497513918</v>
      </c>
      <c r="W486">
        <v>7</v>
      </c>
      <c r="X486" t="str">
        <f t="shared" si="140"/>
        <v>ALERT</v>
      </c>
      <c r="Y486" s="6">
        <f t="shared" si="141"/>
        <v>23</v>
      </c>
      <c r="Z486" s="6">
        <f t="shared" si="142"/>
        <v>23</v>
      </c>
    </row>
    <row r="487" spans="1:26" x14ac:dyDescent="0.3">
      <c r="A487" s="3" t="str">
        <f t="shared" si="126"/>
        <v>SKU486</v>
      </c>
      <c r="B487" s="3">
        <v>221</v>
      </c>
      <c r="C487" s="3">
        <f t="shared" si="128"/>
        <v>287.3</v>
      </c>
      <c r="D487" s="3">
        <v>21.94</v>
      </c>
      <c r="E487" s="3">
        <v>29</v>
      </c>
      <c r="F487" s="3" t="str" cm="1">
        <f t="array" aca="1" ref="F487" ca="1">INDEX({"Electronics","Clothing","Food","Furniture"}, RANDBETWEEN(1,4))</f>
        <v>Furniture</v>
      </c>
      <c r="G487" s="3">
        <v>50</v>
      </c>
      <c r="H487" s="3">
        <v>2</v>
      </c>
      <c r="I487" s="3">
        <f t="shared" si="127"/>
        <v>4848.7400000000007</v>
      </c>
      <c r="J487" s="3">
        <f t="shared" si="143"/>
        <v>29111702.750000019</v>
      </c>
      <c r="K487" s="4">
        <f t="shared" si="129"/>
        <v>0.99889166087853209</v>
      </c>
      <c r="M487" s="6">
        <f t="shared" si="130"/>
        <v>105.11898020814318</v>
      </c>
      <c r="N487" s="6">
        <f t="shared" si="131"/>
        <v>119.85407794480753</v>
      </c>
      <c r="O487" s="6">
        <f t="shared" si="132"/>
        <v>0.60547945205479448</v>
      </c>
      <c r="P487" s="6">
        <f t="shared" si="133"/>
        <v>17.55890410958904</v>
      </c>
      <c r="Q487" t="str">
        <f t="shared" si="134"/>
        <v>C</v>
      </c>
      <c r="R487" s="6">
        <f t="shared" si="135"/>
        <v>52.559490104071592</v>
      </c>
      <c r="S487" s="6">
        <f t="shared" si="136"/>
        <v>4.2047592083257284</v>
      </c>
      <c r="T487" s="6">
        <f t="shared" si="137"/>
        <v>105.11898020814321</v>
      </c>
      <c r="U487" s="6">
        <f t="shared" si="138"/>
        <v>26.279745052035796</v>
      </c>
      <c r="V487" s="6">
        <f t="shared" si="139"/>
        <v>131.39872526017902</v>
      </c>
      <c r="W487">
        <v>45</v>
      </c>
      <c r="X487" t="str">
        <f t="shared" si="140"/>
        <v>OK</v>
      </c>
      <c r="Y487" s="6">
        <f t="shared" si="141"/>
        <v>34</v>
      </c>
      <c r="Z487" s="6">
        <f t="shared" si="142"/>
        <v>34</v>
      </c>
    </row>
    <row r="488" spans="1:26" x14ac:dyDescent="0.3">
      <c r="A488" s="3" t="str">
        <f t="shared" si="126"/>
        <v>SKU487</v>
      </c>
      <c r="B488" s="3">
        <v>210</v>
      </c>
      <c r="C488" s="3">
        <f t="shared" si="128"/>
        <v>273</v>
      </c>
      <c r="D488" s="3">
        <v>19.03</v>
      </c>
      <c r="E488" s="3">
        <v>5</v>
      </c>
      <c r="F488" s="3" t="str" cm="1">
        <f t="array" aca="1" ref="F488" ca="1">INDEX({"Electronics","Clothing","Food","Furniture"}, RANDBETWEEN(1,4))</f>
        <v>Electronics</v>
      </c>
      <c r="G488" s="3">
        <v>50</v>
      </c>
      <c r="H488" s="3">
        <v>2</v>
      </c>
      <c r="I488" s="3">
        <f t="shared" si="127"/>
        <v>3996.3</v>
      </c>
      <c r="J488" s="3">
        <f t="shared" si="143"/>
        <v>29115699.050000019</v>
      </c>
      <c r="K488" s="4">
        <f t="shared" si="129"/>
        <v>0.99902878342263923</v>
      </c>
      <c r="M488" s="6">
        <f t="shared" si="130"/>
        <v>102.46950765959599</v>
      </c>
      <c r="N488" s="6">
        <f t="shared" si="131"/>
        <v>116.83321445547922</v>
      </c>
      <c r="O488" s="6">
        <f t="shared" si="132"/>
        <v>0.57534246575342463</v>
      </c>
      <c r="P488" s="6">
        <f t="shared" si="133"/>
        <v>2.8767123287671232</v>
      </c>
      <c r="Q488" t="str">
        <f t="shared" si="134"/>
        <v>C</v>
      </c>
      <c r="R488" s="6">
        <f t="shared" si="135"/>
        <v>51.234753829797995</v>
      </c>
      <c r="S488" s="6">
        <f t="shared" si="136"/>
        <v>4.0987803063838388</v>
      </c>
      <c r="T488" s="6">
        <f t="shared" si="137"/>
        <v>102.46950765959598</v>
      </c>
      <c r="U488" s="6">
        <f t="shared" si="138"/>
        <v>25.617376914898998</v>
      </c>
      <c r="V488" s="6">
        <f t="shared" si="139"/>
        <v>128.08688457449497</v>
      </c>
      <c r="W488">
        <v>25</v>
      </c>
      <c r="X488" t="str">
        <f t="shared" si="140"/>
        <v>OK</v>
      </c>
      <c r="Y488" s="6">
        <f t="shared" si="141"/>
        <v>10</v>
      </c>
      <c r="Z488" s="6">
        <f t="shared" si="142"/>
        <v>10</v>
      </c>
    </row>
    <row r="489" spans="1:26" x14ac:dyDescent="0.3">
      <c r="A489" s="3" t="str">
        <f t="shared" si="126"/>
        <v>SKU488</v>
      </c>
      <c r="B489" s="3">
        <v>301</v>
      </c>
      <c r="C489" s="3">
        <f t="shared" si="128"/>
        <v>391.3</v>
      </c>
      <c r="D489" s="3">
        <v>12.59</v>
      </c>
      <c r="E489" s="3">
        <v>15</v>
      </c>
      <c r="F489" s="3" t="str" cm="1">
        <f t="array" aca="1" ref="F489" ca="1">INDEX({"Electronics","Clothing","Food","Furniture"}, RANDBETWEEN(1,4))</f>
        <v>Furniture</v>
      </c>
      <c r="G489" s="3">
        <v>50</v>
      </c>
      <c r="H489" s="3">
        <v>2</v>
      </c>
      <c r="I489" s="3">
        <f t="shared" si="127"/>
        <v>3789.59</v>
      </c>
      <c r="J489" s="3">
        <f t="shared" si="143"/>
        <v>29119488.640000019</v>
      </c>
      <c r="K489" s="4">
        <f t="shared" si="129"/>
        <v>0.99915881325571543</v>
      </c>
      <c r="M489" s="6">
        <f t="shared" si="130"/>
        <v>122.67844146385298</v>
      </c>
      <c r="N489" s="6">
        <f t="shared" si="131"/>
        <v>139.87494414654827</v>
      </c>
      <c r="O489" s="6">
        <f t="shared" si="132"/>
        <v>0.8246575342465754</v>
      </c>
      <c r="P489" s="6">
        <f t="shared" si="133"/>
        <v>12.36986301369863</v>
      </c>
      <c r="Q489" t="str">
        <f t="shared" si="134"/>
        <v>C</v>
      </c>
      <c r="R489" s="6">
        <f t="shared" si="135"/>
        <v>61.339220731926488</v>
      </c>
      <c r="S489" s="6">
        <f t="shared" si="136"/>
        <v>4.9071376585541184</v>
      </c>
      <c r="T489" s="6">
        <f t="shared" si="137"/>
        <v>122.67844146385296</v>
      </c>
      <c r="U489" s="6">
        <f t="shared" si="138"/>
        <v>30.669610365963244</v>
      </c>
      <c r="V489" s="6">
        <f t="shared" si="139"/>
        <v>153.3480518298162</v>
      </c>
      <c r="W489">
        <v>10</v>
      </c>
      <c r="X489" t="str">
        <f t="shared" si="140"/>
        <v>ALERT</v>
      </c>
      <c r="Y489" s="6">
        <f t="shared" si="141"/>
        <v>20</v>
      </c>
      <c r="Z489" s="6">
        <f t="shared" si="142"/>
        <v>20</v>
      </c>
    </row>
    <row r="490" spans="1:26" x14ac:dyDescent="0.3">
      <c r="A490" s="3" t="str">
        <f t="shared" si="126"/>
        <v>SKU489</v>
      </c>
      <c r="B490" s="3">
        <v>184</v>
      </c>
      <c r="C490" s="3">
        <f t="shared" si="128"/>
        <v>239.20000000000002</v>
      </c>
      <c r="D490" s="3">
        <v>20.010000000000002</v>
      </c>
      <c r="E490" s="3">
        <v>7</v>
      </c>
      <c r="F490" s="3" t="str" cm="1">
        <f t="array" aca="1" ref="F490" ca="1">INDEX({"Electronics","Clothing","Food","Furniture"}, RANDBETWEEN(1,4))</f>
        <v>Electronics</v>
      </c>
      <c r="G490" s="3">
        <v>50</v>
      </c>
      <c r="H490" s="3">
        <v>2</v>
      </c>
      <c r="I490" s="3">
        <f t="shared" si="127"/>
        <v>3681.84</v>
      </c>
      <c r="J490" s="3">
        <f t="shared" si="143"/>
        <v>29123170.480000019</v>
      </c>
      <c r="K490" s="4">
        <f t="shared" si="129"/>
        <v>0.99928514593038831</v>
      </c>
      <c r="M490" s="6">
        <f t="shared" si="130"/>
        <v>95.916630466254389</v>
      </c>
      <c r="N490" s="6">
        <f t="shared" si="131"/>
        <v>109.36178491593853</v>
      </c>
      <c r="O490" s="6">
        <f t="shared" si="132"/>
        <v>0.50410958904109593</v>
      </c>
      <c r="P490" s="6">
        <f t="shared" si="133"/>
        <v>3.5287671232876714</v>
      </c>
      <c r="Q490" t="str">
        <f t="shared" si="134"/>
        <v>C</v>
      </c>
      <c r="R490" s="6">
        <f t="shared" si="135"/>
        <v>47.958315233127195</v>
      </c>
      <c r="S490" s="6">
        <f t="shared" si="136"/>
        <v>3.8366652186501757</v>
      </c>
      <c r="T490" s="6">
        <f t="shared" si="137"/>
        <v>95.916630466254389</v>
      </c>
      <c r="U490" s="6">
        <f t="shared" si="138"/>
        <v>23.979157616563597</v>
      </c>
      <c r="V490" s="6">
        <f t="shared" si="139"/>
        <v>119.89578808281799</v>
      </c>
      <c r="W490">
        <v>4</v>
      </c>
      <c r="X490" t="str">
        <f t="shared" si="140"/>
        <v>OK</v>
      </c>
      <c r="Y490" s="6">
        <f t="shared" si="141"/>
        <v>12</v>
      </c>
      <c r="Z490" s="6">
        <f t="shared" si="142"/>
        <v>12</v>
      </c>
    </row>
    <row r="491" spans="1:26" x14ac:dyDescent="0.3">
      <c r="A491" s="3" t="str">
        <f t="shared" si="126"/>
        <v>SKU490</v>
      </c>
      <c r="B491" s="3">
        <v>423</v>
      </c>
      <c r="C491" s="3">
        <f t="shared" si="128"/>
        <v>549.9</v>
      </c>
      <c r="D491" s="3">
        <v>6.18</v>
      </c>
      <c r="E491" s="3">
        <v>24</v>
      </c>
      <c r="F491" s="3" t="str" cm="1">
        <f t="array" aca="1" ref="F491" ca="1">INDEX({"Electronics","Clothing","Food","Furniture"}, RANDBETWEEN(1,4))</f>
        <v>Clothing</v>
      </c>
      <c r="G491" s="3">
        <v>50</v>
      </c>
      <c r="H491" s="3">
        <v>2</v>
      </c>
      <c r="I491" s="3">
        <f t="shared" si="127"/>
        <v>2614.14</v>
      </c>
      <c r="J491" s="3">
        <f t="shared" si="143"/>
        <v>29125784.62000002</v>
      </c>
      <c r="K491" s="4">
        <f t="shared" si="129"/>
        <v>0.99937484328230186</v>
      </c>
      <c r="M491" s="6">
        <f t="shared" si="130"/>
        <v>145.43039572248986</v>
      </c>
      <c r="N491" s="6">
        <f t="shared" si="131"/>
        <v>165.81616326522575</v>
      </c>
      <c r="O491" s="6">
        <f t="shared" si="132"/>
        <v>1.1589041095890411</v>
      </c>
      <c r="P491" s="6">
        <f t="shared" si="133"/>
        <v>27.813698630136987</v>
      </c>
      <c r="Q491" t="str">
        <f t="shared" si="134"/>
        <v>C</v>
      </c>
      <c r="R491" s="6">
        <f t="shared" si="135"/>
        <v>72.715197861244931</v>
      </c>
      <c r="S491" s="6">
        <f t="shared" si="136"/>
        <v>5.8172158288995952</v>
      </c>
      <c r="T491" s="6">
        <f t="shared" si="137"/>
        <v>145.43039572248989</v>
      </c>
      <c r="U491" s="6">
        <f t="shared" si="138"/>
        <v>36.357598930622466</v>
      </c>
      <c r="V491" s="6">
        <f t="shared" si="139"/>
        <v>181.78799465311235</v>
      </c>
      <c r="W491">
        <v>6</v>
      </c>
      <c r="X491" t="str">
        <f t="shared" si="140"/>
        <v>ALERT</v>
      </c>
      <c r="Y491" s="6">
        <f t="shared" si="141"/>
        <v>29</v>
      </c>
      <c r="Z491" s="6">
        <f t="shared" si="142"/>
        <v>29</v>
      </c>
    </row>
    <row r="492" spans="1:26" x14ac:dyDescent="0.3">
      <c r="A492" s="3" t="str">
        <f t="shared" si="126"/>
        <v>SKU491</v>
      </c>
      <c r="B492" s="3">
        <v>344</v>
      </c>
      <c r="C492" s="3">
        <f t="shared" si="128"/>
        <v>447.2</v>
      </c>
      <c r="D492" s="3">
        <v>6.5</v>
      </c>
      <c r="E492" s="3">
        <v>26</v>
      </c>
      <c r="F492" s="3" t="str" cm="1">
        <f t="array" aca="1" ref="F492" ca="1">INDEX({"Electronics","Clothing","Food","Furniture"}, RANDBETWEEN(1,4))</f>
        <v>Food</v>
      </c>
      <c r="G492" s="3">
        <v>50</v>
      </c>
      <c r="H492" s="3">
        <v>2</v>
      </c>
      <c r="I492" s="3">
        <f t="shared" si="127"/>
        <v>2236</v>
      </c>
      <c r="J492" s="3">
        <f t="shared" si="143"/>
        <v>29128020.62000002</v>
      </c>
      <c r="K492" s="4">
        <f t="shared" si="129"/>
        <v>0.99945156575274285</v>
      </c>
      <c r="M492" s="6">
        <f t="shared" si="130"/>
        <v>131.14877048604001</v>
      </c>
      <c r="N492" s="6">
        <f t="shared" si="131"/>
        <v>149.53260514014994</v>
      </c>
      <c r="O492" s="6">
        <f t="shared" si="132"/>
        <v>0.94246575342465755</v>
      </c>
      <c r="P492" s="6">
        <f t="shared" si="133"/>
        <v>24.504109589041096</v>
      </c>
      <c r="Q492" t="str">
        <f t="shared" si="134"/>
        <v>C</v>
      </c>
      <c r="R492" s="6">
        <f t="shared" si="135"/>
        <v>65.574385243020004</v>
      </c>
      <c r="S492" s="6">
        <f t="shared" si="136"/>
        <v>5.2459508194416005</v>
      </c>
      <c r="T492" s="6">
        <f t="shared" si="137"/>
        <v>131.14877048604001</v>
      </c>
      <c r="U492" s="6">
        <f t="shared" si="138"/>
        <v>32.787192621510002</v>
      </c>
      <c r="V492" s="6">
        <f t="shared" si="139"/>
        <v>163.93596310755001</v>
      </c>
      <c r="W492">
        <v>19</v>
      </c>
      <c r="X492" t="str">
        <f t="shared" si="140"/>
        <v>ALERT</v>
      </c>
      <c r="Y492" s="6">
        <f t="shared" si="141"/>
        <v>31</v>
      </c>
      <c r="Z492" s="6">
        <f t="shared" si="142"/>
        <v>31</v>
      </c>
    </row>
    <row r="493" spans="1:26" x14ac:dyDescent="0.3">
      <c r="A493" s="3" t="str">
        <f t="shared" si="126"/>
        <v>SKU492</v>
      </c>
      <c r="B493" s="3">
        <v>134</v>
      </c>
      <c r="C493" s="3">
        <f t="shared" si="128"/>
        <v>174.20000000000002</v>
      </c>
      <c r="D493" s="3">
        <v>16.23</v>
      </c>
      <c r="E493" s="3">
        <v>26</v>
      </c>
      <c r="F493" s="3" t="str" cm="1">
        <f t="array" aca="1" ref="F493" ca="1">INDEX({"Electronics","Clothing","Food","Furniture"}, RANDBETWEEN(1,4))</f>
        <v>Food</v>
      </c>
      <c r="G493" s="3">
        <v>50</v>
      </c>
      <c r="H493" s="3">
        <v>2</v>
      </c>
      <c r="I493" s="3">
        <f t="shared" si="127"/>
        <v>2174.8200000000002</v>
      </c>
      <c r="J493" s="3">
        <f t="shared" si="143"/>
        <v>29130195.44000002</v>
      </c>
      <c r="K493" s="4">
        <f t="shared" si="129"/>
        <v>0.99952618899208301</v>
      </c>
      <c r="M493" s="6">
        <f t="shared" si="130"/>
        <v>81.853527718724493</v>
      </c>
      <c r="N493" s="6">
        <f t="shared" si="131"/>
        <v>93.327380762560779</v>
      </c>
      <c r="O493" s="6">
        <f t="shared" si="132"/>
        <v>0.36712328767123287</v>
      </c>
      <c r="P493" s="6">
        <f t="shared" si="133"/>
        <v>9.5452054794520542</v>
      </c>
      <c r="Q493" t="str">
        <f t="shared" si="134"/>
        <v>C</v>
      </c>
      <c r="R493" s="6">
        <f t="shared" si="135"/>
        <v>40.926763859362246</v>
      </c>
      <c r="S493" s="6">
        <f t="shared" si="136"/>
        <v>3.2741411087489802</v>
      </c>
      <c r="T493" s="6">
        <f t="shared" si="137"/>
        <v>81.853527718724507</v>
      </c>
      <c r="U493" s="6">
        <f t="shared" si="138"/>
        <v>20.463381929681123</v>
      </c>
      <c r="V493" s="6">
        <f t="shared" si="139"/>
        <v>102.31690964840563</v>
      </c>
      <c r="W493">
        <v>43</v>
      </c>
      <c r="X493" t="str">
        <f t="shared" si="140"/>
        <v>OK</v>
      </c>
      <c r="Y493" s="6">
        <f t="shared" si="141"/>
        <v>31</v>
      </c>
      <c r="Z493" s="6">
        <f t="shared" si="142"/>
        <v>0</v>
      </c>
    </row>
    <row r="494" spans="1:26" x14ac:dyDescent="0.3">
      <c r="A494" s="3" t="str">
        <f t="shared" si="126"/>
        <v>SKU493</v>
      </c>
      <c r="B494" s="3">
        <v>365</v>
      </c>
      <c r="C494" s="3">
        <f t="shared" si="128"/>
        <v>474.5</v>
      </c>
      <c r="D494" s="3">
        <v>5.95</v>
      </c>
      <c r="E494" s="3">
        <v>15</v>
      </c>
      <c r="F494" s="3" t="str" cm="1">
        <f t="array" aca="1" ref="F494" ca="1">INDEX({"Electronics","Clothing","Food","Furniture"}, RANDBETWEEN(1,4))</f>
        <v>Electronics</v>
      </c>
      <c r="G494" s="3">
        <v>50</v>
      </c>
      <c r="H494" s="3">
        <v>2</v>
      </c>
      <c r="I494" s="3">
        <f t="shared" si="127"/>
        <v>2171.75</v>
      </c>
      <c r="J494" s="3">
        <f t="shared" si="143"/>
        <v>29132367.19000002</v>
      </c>
      <c r="K494" s="4">
        <f t="shared" si="129"/>
        <v>0.99960070689243197</v>
      </c>
      <c r="M494" s="6">
        <f t="shared" si="130"/>
        <v>135.09256086106296</v>
      </c>
      <c r="N494" s="6">
        <f t="shared" si="131"/>
        <v>154.02921800749363</v>
      </c>
      <c r="O494" s="6">
        <f t="shared" si="132"/>
        <v>1</v>
      </c>
      <c r="P494" s="6">
        <f t="shared" si="133"/>
        <v>15</v>
      </c>
      <c r="Q494" t="str">
        <f t="shared" si="134"/>
        <v>C</v>
      </c>
      <c r="R494" s="6">
        <f t="shared" si="135"/>
        <v>67.546280430531482</v>
      </c>
      <c r="S494" s="6">
        <f t="shared" si="136"/>
        <v>5.4037024344425184</v>
      </c>
      <c r="T494" s="6">
        <f t="shared" si="137"/>
        <v>135.09256086106296</v>
      </c>
      <c r="U494" s="6">
        <f t="shared" si="138"/>
        <v>33.773140215265741</v>
      </c>
      <c r="V494" s="6">
        <f t="shared" si="139"/>
        <v>168.86570107632872</v>
      </c>
      <c r="W494">
        <v>44</v>
      </c>
      <c r="X494" t="str">
        <f t="shared" si="140"/>
        <v>OK</v>
      </c>
      <c r="Y494" s="6">
        <f t="shared" si="141"/>
        <v>20</v>
      </c>
      <c r="Z494" s="6">
        <f t="shared" si="142"/>
        <v>20</v>
      </c>
    </row>
    <row r="495" spans="1:26" x14ac:dyDescent="0.3">
      <c r="A495" s="3" t="str">
        <f t="shared" si="126"/>
        <v>SKU494</v>
      </c>
      <c r="B495" s="3">
        <v>180</v>
      </c>
      <c r="C495" s="3">
        <f t="shared" si="128"/>
        <v>234</v>
      </c>
      <c r="D495" s="3">
        <v>11.96</v>
      </c>
      <c r="E495" s="3">
        <v>2</v>
      </c>
      <c r="F495" s="3" t="str" cm="1">
        <f t="array" aca="1" ref="F495" ca="1">INDEX({"Electronics","Clothing","Food","Furniture"}, RANDBETWEEN(1,4))</f>
        <v>Electronics</v>
      </c>
      <c r="G495" s="3">
        <v>50</v>
      </c>
      <c r="H495" s="3">
        <v>2</v>
      </c>
      <c r="I495" s="3">
        <f t="shared" si="127"/>
        <v>2152.8000000000002</v>
      </c>
      <c r="J495" s="3">
        <f t="shared" si="143"/>
        <v>29134519.990000021</v>
      </c>
      <c r="K495" s="4">
        <f t="shared" si="129"/>
        <v>0.99967457457327524</v>
      </c>
      <c r="M495" s="6">
        <f t="shared" si="130"/>
        <v>94.868329805051374</v>
      </c>
      <c r="N495" s="6">
        <f t="shared" si="131"/>
        <v>108.16653826391968</v>
      </c>
      <c r="O495" s="6">
        <f t="shared" si="132"/>
        <v>0.49315068493150682</v>
      </c>
      <c r="P495" s="6">
        <f t="shared" si="133"/>
        <v>0.98630136986301364</v>
      </c>
      <c r="Q495" t="str">
        <f t="shared" si="134"/>
        <v>C</v>
      </c>
      <c r="R495" s="6">
        <f t="shared" si="135"/>
        <v>47.434164902525687</v>
      </c>
      <c r="S495" s="6">
        <f t="shared" si="136"/>
        <v>3.7947331922020555</v>
      </c>
      <c r="T495" s="6">
        <f t="shared" si="137"/>
        <v>94.868329805051388</v>
      </c>
      <c r="U495" s="6">
        <f t="shared" si="138"/>
        <v>23.717082451262844</v>
      </c>
      <c r="V495" s="6">
        <f t="shared" si="139"/>
        <v>118.58541225631423</v>
      </c>
      <c r="W495">
        <v>15</v>
      </c>
      <c r="X495" t="str">
        <f t="shared" si="140"/>
        <v>OK</v>
      </c>
      <c r="Y495" s="6">
        <f t="shared" si="141"/>
        <v>7</v>
      </c>
      <c r="Z495" s="6">
        <f t="shared" si="142"/>
        <v>0</v>
      </c>
    </row>
    <row r="496" spans="1:26" x14ac:dyDescent="0.3">
      <c r="A496" s="3" t="str">
        <f t="shared" si="126"/>
        <v>SKU495</v>
      </c>
      <c r="B496" s="3">
        <v>150</v>
      </c>
      <c r="C496" s="3">
        <f t="shared" si="128"/>
        <v>195</v>
      </c>
      <c r="D496" s="3">
        <v>13.5</v>
      </c>
      <c r="E496" s="3">
        <v>14</v>
      </c>
      <c r="F496" s="3" t="str" cm="1">
        <f t="array" aca="1" ref="F496" ca="1">INDEX({"Electronics","Clothing","Food","Furniture"}, RANDBETWEEN(1,4))</f>
        <v>Clothing</v>
      </c>
      <c r="G496" s="3">
        <v>50</v>
      </c>
      <c r="H496" s="3">
        <v>2</v>
      </c>
      <c r="I496" s="3">
        <f t="shared" si="127"/>
        <v>2025</v>
      </c>
      <c r="J496" s="3">
        <f t="shared" si="143"/>
        <v>29136544.990000021</v>
      </c>
      <c r="K496" s="4">
        <f t="shared" si="129"/>
        <v>0.99974405713259684</v>
      </c>
      <c r="M496" s="6">
        <f t="shared" si="130"/>
        <v>86.602540378443862</v>
      </c>
      <c r="N496" s="6">
        <f t="shared" si="131"/>
        <v>98.742088290657492</v>
      </c>
      <c r="O496" s="6">
        <f t="shared" si="132"/>
        <v>0.41095890410958902</v>
      </c>
      <c r="P496" s="6">
        <f t="shared" si="133"/>
        <v>5.7534246575342465</v>
      </c>
      <c r="Q496" t="str">
        <f t="shared" si="134"/>
        <v>C</v>
      </c>
      <c r="R496" s="6">
        <f t="shared" si="135"/>
        <v>43.301270189221931</v>
      </c>
      <c r="S496" s="6">
        <f t="shared" si="136"/>
        <v>3.4641016151377548</v>
      </c>
      <c r="T496" s="6">
        <f t="shared" si="137"/>
        <v>86.602540378443877</v>
      </c>
      <c r="U496" s="6">
        <f t="shared" si="138"/>
        <v>21.650635094610966</v>
      </c>
      <c r="V496" s="6">
        <f t="shared" si="139"/>
        <v>108.25317547305484</v>
      </c>
      <c r="W496">
        <v>46</v>
      </c>
      <c r="X496" t="str">
        <f t="shared" si="140"/>
        <v>OK</v>
      </c>
      <c r="Y496" s="6">
        <f t="shared" si="141"/>
        <v>19</v>
      </c>
      <c r="Z496" s="6">
        <f t="shared" si="142"/>
        <v>0</v>
      </c>
    </row>
    <row r="497" spans="1:26" x14ac:dyDescent="0.3">
      <c r="A497" s="3" t="str">
        <f t="shared" si="126"/>
        <v>SKU496</v>
      </c>
      <c r="B497" s="3">
        <v>342</v>
      </c>
      <c r="C497" s="3">
        <f t="shared" si="128"/>
        <v>444.6</v>
      </c>
      <c r="D497" s="3">
        <v>5.87</v>
      </c>
      <c r="E497" s="3">
        <v>7</v>
      </c>
      <c r="F497" s="3" t="str" cm="1">
        <f t="array" aca="1" ref="F497" ca="1">INDEX({"Electronics","Clothing","Food","Furniture"}, RANDBETWEEN(1,4))</f>
        <v>Food</v>
      </c>
      <c r="G497" s="3">
        <v>50</v>
      </c>
      <c r="H497" s="3">
        <v>2</v>
      </c>
      <c r="I497" s="3">
        <f t="shared" si="127"/>
        <v>2007.54</v>
      </c>
      <c r="J497" s="3">
        <f t="shared" si="143"/>
        <v>29138552.53000002</v>
      </c>
      <c r="K497" s="4">
        <f t="shared" si="129"/>
        <v>0.99981294059785131</v>
      </c>
      <c r="M497" s="6">
        <f t="shared" si="130"/>
        <v>130.76696830622021</v>
      </c>
      <c r="N497" s="6">
        <f t="shared" si="131"/>
        <v>149.09728367747013</v>
      </c>
      <c r="O497" s="6">
        <f t="shared" si="132"/>
        <v>0.93698630136986305</v>
      </c>
      <c r="P497" s="6">
        <f t="shared" si="133"/>
        <v>6.558904109589041</v>
      </c>
      <c r="Q497" t="str">
        <f t="shared" si="134"/>
        <v>C</v>
      </c>
      <c r="R497" s="6">
        <f t="shared" si="135"/>
        <v>65.383484153110103</v>
      </c>
      <c r="S497" s="6">
        <f t="shared" si="136"/>
        <v>5.2306787322488084</v>
      </c>
      <c r="T497" s="6">
        <f t="shared" si="137"/>
        <v>130.76696830622021</v>
      </c>
      <c r="U497" s="6">
        <f t="shared" si="138"/>
        <v>32.691742076555052</v>
      </c>
      <c r="V497" s="6">
        <f t="shared" si="139"/>
        <v>163.45871038277525</v>
      </c>
      <c r="W497">
        <v>0</v>
      </c>
      <c r="X497" t="str">
        <f t="shared" si="140"/>
        <v>ALERT</v>
      </c>
      <c r="Y497" s="6">
        <f t="shared" si="141"/>
        <v>12</v>
      </c>
      <c r="Z497" s="6">
        <f t="shared" si="142"/>
        <v>12</v>
      </c>
    </row>
    <row r="498" spans="1:26" x14ac:dyDescent="0.3">
      <c r="A498" s="3" t="str">
        <f t="shared" si="126"/>
        <v>SKU497</v>
      </c>
      <c r="B498" s="3">
        <v>126</v>
      </c>
      <c r="C498" s="3">
        <f t="shared" si="128"/>
        <v>163.80000000000001</v>
      </c>
      <c r="D498" s="3">
        <v>12.27</v>
      </c>
      <c r="E498" s="3">
        <v>14</v>
      </c>
      <c r="F498" s="3" t="str" cm="1">
        <f t="array" aca="1" ref="F498" ca="1">INDEX({"Electronics","Clothing","Food","Furniture"}, RANDBETWEEN(1,4))</f>
        <v>Electronics</v>
      </c>
      <c r="G498" s="3">
        <v>50</v>
      </c>
      <c r="H498" s="3">
        <v>2</v>
      </c>
      <c r="I498" s="3">
        <f t="shared" si="127"/>
        <v>1546.02</v>
      </c>
      <c r="J498" s="3">
        <f t="shared" si="143"/>
        <v>29140098.550000019</v>
      </c>
      <c r="K498" s="4">
        <f t="shared" si="129"/>
        <v>0.99986598821580797</v>
      </c>
      <c r="M498" s="6">
        <f t="shared" si="130"/>
        <v>79.372539331937716</v>
      </c>
      <c r="N498" s="6">
        <f t="shared" si="131"/>
        <v>90.498618773990145</v>
      </c>
      <c r="O498" s="6">
        <f t="shared" si="132"/>
        <v>0.34520547945205482</v>
      </c>
      <c r="P498" s="6">
        <f t="shared" si="133"/>
        <v>4.8328767123287673</v>
      </c>
      <c r="Q498" t="str">
        <f t="shared" si="134"/>
        <v>C</v>
      </c>
      <c r="R498" s="6">
        <f t="shared" si="135"/>
        <v>39.686269665968858</v>
      </c>
      <c r="S498" s="6">
        <f t="shared" si="136"/>
        <v>3.1749015732775088</v>
      </c>
      <c r="T498" s="6">
        <f t="shared" si="137"/>
        <v>79.372539331937716</v>
      </c>
      <c r="U498" s="6">
        <f t="shared" si="138"/>
        <v>19.843134832984429</v>
      </c>
      <c r="V498" s="6">
        <f t="shared" si="139"/>
        <v>99.215674164922149</v>
      </c>
      <c r="W498">
        <v>23</v>
      </c>
      <c r="X498" t="str">
        <f t="shared" si="140"/>
        <v>OK</v>
      </c>
      <c r="Y498" s="6">
        <f t="shared" si="141"/>
        <v>19</v>
      </c>
      <c r="Z498" s="6">
        <f t="shared" si="142"/>
        <v>0</v>
      </c>
    </row>
    <row r="499" spans="1:26" x14ac:dyDescent="0.3">
      <c r="A499" s="3" t="str">
        <f t="shared" si="126"/>
        <v>SKU498</v>
      </c>
      <c r="B499" s="3">
        <v>140</v>
      </c>
      <c r="C499" s="3">
        <f t="shared" si="128"/>
        <v>182</v>
      </c>
      <c r="D499" s="3">
        <v>10.84</v>
      </c>
      <c r="E499" s="3">
        <v>8</v>
      </c>
      <c r="F499" s="3" t="str" cm="1">
        <f t="array" aca="1" ref="F499" ca="1">INDEX({"Electronics","Clothing","Food","Furniture"}, RANDBETWEEN(1,4))</f>
        <v>Electronics</v>
      </c>
      <c r="G499" s="3">
        <v>50</v>
      </c>
      <c r="H499" s="3">
        <v>2</v>
      </c>
      <c r="I499" s="3">
        <f t="shared" si="127"/>
        <v>1517.6</v>
      </c>
      <c r="J499" s="3">
        <f t="shared" si="143"/>
        <v>29141616.150000021</v>
      </c>
      <c r="K499" s="4">
        <f t="shared" si="129"/>
        <v>0.99991806067606803</v>
      </c>
      <c r="M499" s="6">
        <f t="shared" si="130"/>
        <v>83.66600265340756</v>
      </c>
      <c r="N499" s="6">
        <f t="shared" si="131"/>
        <v>95.393920141694565</v>
      </c>
      <c r="O499" s="6">
        <f t="shared" si="132"/>
        <v>0.38356164383561642</v>
      </c>
      <c r="P499" s="6">
        <f t="shared" si="133"/>
        <v>3.0684931506849313</v>
      </c>
      <c r="Q499" t="str">
        <f t="shared" si="134"/>
        <v>C</v>
      </c>
      <c r="R499" s="6">
        <f t="shared" si="135"/>
        <v>41.83300132670378</v>
      </c>
      <c r="S499" s="6">
        <f t="shared" si="136"/>
        <v>3.3466401061363018</v>
      </c>
      <c r="T499" s="6">
        <f t="shared" si="137"/>
        <v>83.666002653407546</v>
      </c>
      <c r="U499" s="6">
        <f t="shared" si="138"/>
        <v>20.91650066335189</v>
      </c>
      <c r="V499" s="6">
        <f t="shared" si="139"/>
        <v>104.58250331675944</v>
      </c>
      <c r="W499">
        <v>49</v>
      </c>
      <c r="X499" t="str">
        <f t="shared" si="140"/>
        <v>OK</v>
      </c>
      <c r="Y499" s="6">
        <f t="shared" si="141"/>
        <v>13</v>
      </c>
      <c r="Z499" s="6">
        <f t="shared" si="142"/>
        <v>0</v>
      </c>
    </row>
    <row r="500" spans="1:26" x14ac:dyDescent="0.3">
      <c r="A500" s="3" t="str">
        <f t="shared" si="126"/>
        <v>SKU499</v>
      </c>
      <c r="B500" s="3">
        <v>148</v>
      </c>
      <c r="C500" s="3">
        <f t="shared" si="128"/>
        <v>192.4</v>
      </c>
      <c r="D500" s="3">
        <v>10.18</v>
      </c>
      <c r="E500" s="3">
        <v>23</v>
      </c>
      <c r="F500" s="3" t="str" cm="1">
        <f t="array" aca="1" ref="F500" ca="1">INDEX({"Electronics","Clothing","Food","Furniture"}, RANDBETWEEN(1,4))</f>
        <v>Clothing</v>
      </c>
      <c r="G500" s="3">
        <v>50</v>
      </c>
      <c r="H500" s="3">
        <v>2</v>
      </c>
      <c r="I500" s="3">
        <f t="shared" si="127"/>
        <v>1506.6399999999999</v>
      </c>
      <c r="J500" s="3">
        <f t="shared" si="143"/>
        <v>29143122.790000021</v>
      </c>
      <c r="K500" s="4">
        <f t="shared" si="129"/>
        <v>0.99996975707269831</v>
      </c>
      <c r="M500" s="6">
        <f t="shared" si="130"/>
        <v>86.023252670426274</v>
      </c>
      <c r="N500" s="6">
        <f t="shared" si="131"/>
        <v>98.081598681913832</v>
      </c>
      <c r="O500" s="6">
        <f t="shared" si="132"/>
        <v>0.40547945205479452</v>
      </c>
      <c r="P500" s="6">
        <f t="shared" si="133"/>
        <v>9.3260273972602743</v>
      </c>
      <c r="Q500" t="str">
        <f t="shared" si="134"/>
        <v>C</v>
      </c>
      <c r="R500" s="6">
        <f t="shared" si="135"/>
        <v>43.011626335213137</v>
      </c>
      <c r="S500" s="6">
        <f t="shared" si="136"/>
        <v>3.4409301068170506</v>
      </c>
      <c r="T500" s="6">
        <f t="shared" si="137"/>
        <v>86.02325267042626</v>
      </c>
      <c r="U500" s="6">
        <f t="shared" si="138"/>
        <v>21.505813167606568</v>
      </c>
      <c r="V500" s="6">
        <f t="shared" si="139"/>
        <v>107.52906583803284</v>
      </c>
      <c r="W500">
        <v>27</v>
      </c>
      <c r="X500" t="str">
        <f t="shared" si="140"/>
        <v>OK</v>
      </c>
      <c r="Y500" s="6">
        <f t="shared" si="141"/>
        <v>28</v>
      </c>
      <c r="Z500" s="6">
        <f t="shared" si="142"/>
        <v>0</v>
      </c>
    </row>
    <row r="501" spans="1:26" x14ac:dyDescent="0.3">
      <c r="A501" s="3" t="str">
        <f t="shared" si="126"/>
        <v>SKU500</v>
      </c>
      <c r="B501" s="3">
        <v>113</v>
      </c>
      <c r="C501" s="3">
        <f t="shared" si="128"/>
        <v>146.9</v>
      </c>
      <c r="D501" s="3">
        <v>7.8</v>
      </c>
      <c r="E501" s="3">
        <v>1</v>
      </c>
      <c r="F501" s="3" t="str" cm="1">
        <f t="array" aca="1" ref="F501" ca="1">INDEX({"Electronics","Clothing","Food","Furniture"}, RANDBETWEEN(1,4))</f>
        <v>Furniture</v>
      </c>
      <c r="G501" s="3">
        <v>50</v>
      </c>
      <c r="H501" s="3">
        <v>2</v>
      </c>
      <c r="I501" s="3">
        <f t="shared" si="127"/>
        <v>881.4</v>
      </c>
      <c r="J501" s="3">
        <f t="shared" si="143"/>
        <v>29144004.19000002</v>
      </c>
      <c r="K501" s="4">
        <f t="shared" si="129"/>
        <v>1</v>
      </c>
      <c r="M501" s="6">
        <f t="shared" si="130"/>
        <v>75.166481891864535</v>
      </c>
      <c r="N501" s="6">
        <f t="shared" si="131"/>
        <v>85.702975444263316</v>
      </c>
      <c r="O501" s="6">
        <f t="shared" si="132"/>
        <v>0.30958904109589042</v>
      </c>
      <c r="P501" s="6">
        <f t="shared" si="133"/>
        <v>0.30958904109589042</v>
      </c>
      <c r="Q501" t="str">
        <f t="shared" si="134"/>
        <v>C</v>
      </c>
      <c r="R501" s="6">
        <f t="shared" si="135"/>
        <v>37.583240945932268</v>
      </c>
      <c r="S501" s="6">
        <f t="shared" si="136"/>
        <v>3.0066592756745818</v>
      </c>
      <c r="T501" s="6">
        <f t="shared" si="137"/>
        <v>75.166481891864549</v>
      </c>
      <c r="U501" s="6">
        <f t="shared" si="138"/>
        <v>18.791620472966134</v>
      </c>
      <c r="V501" s="6">
        <f t="shared" si="139"/>
        <v>93.95810236483068</v>
      </c>
      <c r="W501">
        <v>7</v>
      </c>
      <c r="X501" t="str">
        <f t="shared" si="140"/>
        <v>OK</v>
      </c>
      <c r="Y501" s="6">
        <f t="shared" si="141"/>
        <v>6</v>
      </c>
      <c r="Z501" s="6">
        <f t="shared" si="142"/>
        <v>0</v>
      </c>
    </row>
  </sheetData>
  <conditionalFormatting sqref="A2:I501">
    <cfRule type="containsBlanks" priority="25">
      <formula>LEN(TRIM(A2))=0</formula>
    </cfRule>
  </conditionalFormatting>
  <conditionalFormatting sqref="B129:C129">
    <cfRule type="duplicateValues" dxfId="0" priority="24"/>
  </conditionalFormatting>
  <conditionalFormatting sqref="J1 L1 A1:H501">
    <cfRule type="duplicateValues" priority="26"/>
    <cfRule type="containsBlanks" priority="27">
      <formula>LEN(TRIM(A1))=0</formula>
    </cfRule>
  </conditionalFormatting>
  <conditionalFormatting sqref="AA3">
    <cfRule type="duplicateValues" priority="12"/>
    <cfRule type="containsBlanks" priority="13">
      <formula>LEN(TRIM(AA3))=0</formula>
    </cfRule>
  </conditionalFormatting>
  <conditionalFormatting sqref="AA4:AE8 AG4 AI4">
    <cfRule type="duplicateValues" priority="10"/>
  </conditionalFormatting>
  <conditionalFormatting sqref="AA4:AE10 AG9 AI9">
    <cfRule type="containsBlanks" priority="8">
      <formula>LEN(TRIM(AA4))=0</formula>
    </cfRule>
  </conditionalFormatting>
  <conditionalFormatting sqref="AA9:AE10 AG9 AI9">
    <cfRule type="duplicateValues" priority="7"/>
  </conditionalFormatting>
  <conditionalFormatting sqref="AA5:AF8">
    <cfRule type="containsBlanks" priority="9">
      <formula>LEN(TRIM(AA5))=0</formula>
    </cfRule>
  </conditionalFormatting>
  <conditionalFormatting sqref="AA10:AF10">
    <cfRule type="containsBlanks" priority="6">
      <formula>LEN(TRIM(AA10))=0</formula>
    </cfRule>
  </conditionalFormatting>
  <conditionalFormatting sqref="AA12:AI21">
    <cfRule type="containsBlanks" priority="1">
      <formula>LEN(TRIM(AA12))=0</formula>
    </cfRule>
  </conditionalFormatting>
  <conditionalFormatting sqref="AG4 AI4">
    <cfRule type="containsBlanks" priority="11">
      <formula>LEN(TRIM(AG4))=0</formula>
    </cfRule>
  </conditionalFormatting>
  <conditionalFormatting sqref="AJ11 AL11 AA11:AH21">
    <cfRule type="duplicateValues" priority="2"/>
    <cfRule type="containsBlanks" priority="3">
      <formula>LEN(TRIM(AA11))=0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Malla</dc:creator>
  <cp:lastModifiedBy>Abhay Pratap Malla</cp:lastModifiedBy>
  <dcterms:created xsi:type="dcterms:W3CDTF">2025-08-14T09:14:59Z</dcterms:created>
  <dcterms:modified xsi:type="dcterms:W3CDTF">2026-06-20T15:31:05Z</dcterms:modified>
</cp:coreProperties>
</file>